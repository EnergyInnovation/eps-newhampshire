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H\trans\BCDTRtSY\"/>
    </mc:Choice>
  </mc:AlternateContent>
  <xr:revisionPtr revIDLastSave="0" documentId="8_{FF1CCE62-2905-4FFD-B58B-618E5DF6F03C}"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<sst xmlns="http://schemas.openxmlformats.org/spreadsheetml/2006/main" count="6428" uniqueCount="3038">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</sst>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2914</v>
      </c>
      <c r="C1" s="77">
        <v>46248</v>
      </c>
      <c r="H1" t="s">
        <v>2981</v>
      </c>
      <c r="I1" t="s">
        <v>2982</v>
      </c>
    </row>
    <row r="2" spans="1:9">
      <c r="B2" t="str">
        <f>VLOOKUP(B1,H2:I52,2)</f>
        <v>NH</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New Hampshire</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1.0039134729055379</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1.0092404716526653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1.0114938830472262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1.0133429183706117</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1.0144603020299798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1.0152827546298935</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1.0162687386619826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1.0158820881880504</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1.0160901023566129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1.0154703046088442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1.0155403938885141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1.016037775582457</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1.0165923435251294</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1.0165621487285934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1.0167317287059801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1.0157683932063815</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1.0146876266787035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1.0132822702101081</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1.0120996936510624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1.0107076348974369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1.0090613914506608</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1.0066632886433118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1.0043940085532301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1.0019090725209208</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0.99981068975666065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1.0156962846404216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1.0255620728476624</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1.031950751074171</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1.0371172318079289</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1.0408784551567019</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1.0433034821970657</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1.0453124575300485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1.0477963151649403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1.0498198883185179</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1.0521605920112485</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1.0537382121358538</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1.0554447143266539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1.0566659436453949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1.0578687995654692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1.0590230630756485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1.0591111642668491</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1.0591537021143993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1.0588752010942712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1.0584827662553944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1.0579841273908155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1.0571182903818173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1.0561472756080619</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1.054817908484037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1.0533256762450947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1.0517707835835639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1.0290845651281828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1.045524601487589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1.0511943889734221</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1.061634666303924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1.0761370492969946</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1.0899517152302935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1.1080441429559511</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1.127953955120744</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1.1501276081143057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1.1747478081451688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1.1925072436019086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1.210299582455646</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1.2278096983139748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1.2443162622915556</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1.2612248619840258</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1.2763622854184489</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1.2925056453727299</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1.3098838705932303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1.327128057655699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1.34444552017893</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1.3607308021425448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1.3750749104965225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1.389548159210102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1.4029582751141787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1.4167965640335209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1.0613741430576102</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1.1062005486973425</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1.1394064321761272</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1.1677202682942969</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1.1913575752847689</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1.2109800288395283</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1.2283912998395337</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1.2466072915514592</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1.2598185852742867</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1.2729674624933069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1.2824483666761575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1.2927584050309693</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1.3017802214103058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1.3081523523596257</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1.3148607218597044</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1.3196802935002108</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1.3245104030988233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1.3278215949732839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1.3319084463860711</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1.3366151623315787</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1.3397372925063722</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1.3435460868454372</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1.345127546292415</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1.3463077181658913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1.3471920672751154</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0.99974282619113286</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0.99244344636372206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0.97926114527357078</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0.96855895165837891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0.96017175585181624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0.95160945601508495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0.94537431167716512</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0.94033538960447516</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0.93653026017127949</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0.93400808277621938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0.92859509051893907</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0.92323824105622176</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0.91774086842840918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0.91219446126802994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0.90675757026033199</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0.90034068960153779</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0.89435560357359523</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0.88867552306769604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0.88301534652401203</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0.87734357297272692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0.87124258401710908</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0.86454229566590934</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0.85773085537566573</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0.85058595643238322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0.84372441523941966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1.003678353730783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1.0095359509697446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1.0124603651083284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1.0151765475206316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1.0168711478689221</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1.0189238825574765</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1.0210259507997912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1.0216167561985434</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1.0225623960846182</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1.0226187992696081</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1.023469983609778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1.0247655955211761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1.0260349240242714</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1.0265994437672332</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1.0273922117252543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1.0273238043118318</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1.0269970750554653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1.0264462735326916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1.026225303390752</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1.0258782178067294</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1.0250844212045211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1.0235852979876627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1.0220418661080124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1.0203537918361449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1.01905717461267</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0.99389758166907327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0.99326728022424859</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0.99227982586816299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0.99246468511824681</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0.99739588024795534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1.0011862969392424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1.0067631439374449</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1.0110628922952389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1.0172837459864823</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1.0242124472746781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1.0314848037838247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1.0400158704622129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1.0497749591328762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1.0599037567246425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1.070548535093454</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1.079890535511874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1.0886229302004187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1.0948168265878919</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1.1007449907707965</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1.1080182917952086</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1.1157535056489079</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1.1241636580617098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1.1313139626625606</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1.1392325891496948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1.1464040598627276</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1.0085095589700137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1.0212133974785811</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1.033015320335757</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1.0422026397516726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1.0537153601790976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1.0610645741379561</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1.0693174211399941</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1.0753985250017053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1.0827245142615434</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1.0899153791036449</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1.0963114290517846</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1.1020160040632088</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1.1067194272901526</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1.1108600233996928</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1.1151782958235608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1.1189001863946662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1.1220940975580094</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1.1242795547380713</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1.1267759093793301</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1.131122241930052</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1.1356727065085614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1.1401254204775546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1.1424783195352841</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1.144754221297887</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1.1464725541345897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1.0245439372145482</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1.0412609860137068</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1.0514959735482172</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1.0653676995622163</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1.0821460234621574</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1.0987623253543382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1.1184354614139544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1.1395323715050891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1.1623539362758186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1.187011432769346</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1.2072003065742445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1.227550775757341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1.2478411005926509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1.2675648310312795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1.2876988461759342</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1.3065829307553307</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1.3262611762244283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1.3468984358932496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1.3675545755076184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1.3883697671560271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1.4085793029166473</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1.4275400170889099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1.4467027064717835</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1.4652332751970207</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1.4841959574898407</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0.97509495159885573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1.0042905140038201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0.98151297279607097</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0.97161666882105957</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0.97593926798534802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0.94908421760653128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0.95124591863663699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0.9535522990366232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0.94904678956732258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0.9503533690323781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0.95081916483726947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0.95263735235194313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0.95125372706235067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0.95140890571109682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0.95060119041828084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0.94771119708571283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0.94277073222358532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0.93846708993561223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0.93657403208002477</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0.93411221936337185</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0.93409007239982655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0.93761299492763572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0.93860597179619287</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0.9339686119061642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0.9299875058438386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0.98993318271985375</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1.0067959507713367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1.0256017896758578</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1.0409924207014718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1.0572359590063234</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1.0722615735123771</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1.0892640159196538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1.1065034743128361</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1.1243987965085347</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1.143231675912326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1.1580621254966583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1.1695628574265311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1.1810193764268908</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1.1912826219445876</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1.2015945217563517</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1.2111246229685542</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1.2216568128595928</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1.231737804485983</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1.2416346130596299</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1.2528071853362965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1.2640885822244881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1.2755123166641409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1.2861478486271953</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1.2964450599113722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1.308090173242874</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1.0039134729055379</v>
      </c>
      <c r="E2">
        <f>'BCDTRtSY-state-adjusted'!E5</f>
        <v>1.0092404716526653</v>
      </c>
      <c r="F2">
        <f>'BCDTRtSY-state-adjusted'!F5</f>
        <v>1.0114938830472262</v>
      </c>
      <c r="G2">
        <f>'BCDTRtSY-state-adjusted'!G5</f>
        <v>1.0133429183706117</v>
      </c>
      <c r="H2">
        <f>'BCDTRtSY-state-adjusted'!H5</f>
        <v>1.0144603020299798</v>
      </c>
      <c r="I2">
        <f>'BCDTRtSY-state-adjusted'!I5</f>
        <v>1.0152827546298935</v>
      </c>
      <c r="J2">
        <f>'BCDTRtSY-state-adjusted'!J5</f>
        <v>1.0162687386619826</v>
      </c>
      <c r="K2">
        <f>'BCDTRtSY-state-adjusted'!K5</f>
        <v>1.0158820881880504</v>
      </c>
      <c r="L2">
        <f>'BCDTRtSY-state-adjusted'!L5</f>
        <v>1.0160901023566129</v>
      </c>
      <c r="M2">
        <f>'BCDTRtSY-state-adjusted'!M5</f>
        <v>1.0154703046088442</v>
      </c>
      <c r="N2">
        <f>'BCDTRtSY-state-adjusted'!N5</f>
        <v>1.0155403938885141</v>
      </c>
      <c r="O2">
        <f>'BCDTRtSY-state-adjusted'!O5</f>
        <v>1.016037775582457</v>
      </c>
      <c r="P2">
        <f>'BCDTRtSY-state-adjusted'!P5</f>
        <v>1.0165923435251294</v>
      </c>
      <c r="Q2">
        <f>'BCDTRtSY-state-adjusted'!Q5</f>
        <v>1.0165621487285934</v>
      </c>
      <c r="R2">
        <f>'BCDTRtSY-state-adjusted'!R5</f>
        <v>1.0167317287059801</v>
      </c>
      <c r="S2">
        <f>'BCDTRtSY-state-adjusted'!S5</f>
        <v>1.0157683932063815</v>
      </c>
      <c r="T2">
        <f>'BCDTRtSY-state-adjusted'!T5</f>
        <v>1.0146876266787035</v>
      </c>
      <c r="U2">
        <f>'BCDTRtSY-state-adjusted'!U5</f>
        <v>1.0132822702101081</v>
      </c>
      <c r="V2">
        <f>'BCDTRtSY-state-adjusted'!V5</f>
        <v>1.0120996936510624</v>
      </c>
      <c r="W2">
        <f>'BCDTRtSY-state-adjusted'!W5</f>
        <v>1.0107076348974369</v>
      </c>
      <c r="X2">
        <f>'BCDTRtSY-state-adjusted'!X5</f>
        <v>1.0090613914506608</v>
      </c>
      <c r="Y2">
        <f>'BCDTRtSY-state-adjusted'!Y5</f>
        <v>1.0066632886433118</v>
      </c>
      <c r="Z2">
        <f>'BCDTRtSY-state-adjusted'!Z5</f>
        <v>1.0043940085532301</v>
      </c>
      <c r="AA2">
        <f>'BCDTRtSY-state-adjusted'!AA5</f>
        <v>1.0019090725209208</v>
      </c>
      <c r="AB2">
        <f>'BCDTRtSY-state-adjusted'!AB5</f>
        <v>0.99981068975666065</v>
      </c>
    </row>
    <row r="3" spans="1:28">
      <c r="A3" t="s">
        <v>118</v>
      </c>
      <c r="B3">
        <f>'BCDTRtSY-state-adjusted'!B6</f>
        <v>1</v>
      </c>
      <c r="C3">
        <f>'BCDTRtSY-state-adjusted'!C6</f>
        <v>1</v>
      </c>
      <c r="D3">
        <f>'BCDTRtSY-state-adjusted'!D6</f>
        <v>1.0156962846404216</v>
      </c>
      <c r="E3">
        <f>'BCDTRtSY-state-adjusted'!E6</f>
        <v>1.0255620728476624</v>
      </c>
      <c r="F3">
        <f>'BCDTRtSY-state-adjusted'!F6</f>
        <v>1.031950751074171</v>
      </c>
      <c r="G3">
        <f>'BCDTRtSY-state-adjusted'!G6</f>
        <v>1.0371172318079289</v>
      </c>
      <c r="H3">
        <f>'BCDTRtSY-state-adjusted'!H6</f>
        <v>1.0408784551567019</v>
      </c>
      <c r="I3">
        <f>'BCDTRtSY-state-adjusted'!I6</f>
        <v>1.0433034821970657</v>
      </c>
      <c r="J3">
        <f>'BCDTRtSY-state-adjusted'!J6</f>
        <v>1.0453124575300485</v>
      </c>
      <c r="K3">
        <f>'BCDTRtSY-state-adjusted'!K6</f>
        <v>1.0477963151649403</v>
      </c>
      <c r="L3">
        <f>'BCDTRtSY-state-adjusted'!L6</f>
        <v>1.0498198883185179</v>
      </c>
      <c r="M3">
        <f>'BCDTRtSY-state-adjusted'!M6</f>
        <v>1.0521605920112485</v>
      </c>
      <c r="N3">
        <f>'BCDTRtSY-state-adjusted'!N6</f>
        <v>1.0537382121358538</v>
      </c>
      <c r="O3">
        <f>'BCDTRtSY-state-adjusted'!O6</f>
        <v>1.0554447143266539</v>
      </c>
      <c r="P3">
        <f>'BCDTRtSY-state-adjusted'!P6</f>
        <v>1.0566659436453949</v>
      </c>
      <c r="Q3">
        <f>'BCDTRtSY-state-adjusted'!Q6</f>
        <v>1.0578687995654692</v>
      </c>
      <c r="R3">
        <f>'BCDTRtSY-state-adjusted'!R6</f>
        <v>1.0590230630756485</v>
      </c>
      <c r="S3">
        <f>'BCDTRtSY-state-adjusted'!S6</f>
        <v>1.0591111642668491</v>
      </c>
      <c r="T3">
        <f>'BCDTRtSY-state-adjusted'!T6</f>
        <v>1.0591537021143993</v>
      </c>
      <c r="U3">
        <f>'BCDTRtSY-state-adjusted'!U6</f>
        <v>1.0588752010942712</v>
      </c>
      <c r="V3">
        <f>'BCDTRtSY-state-adjusted'!V6</f>
        <v>1.0584827662553944</v>
      </c>
      <c r="W3">
        <f>'BCDTRtSY-state-adjusted'!W6</f>
        <v>1.0579841273908155</v>
      </c>
      <c r="X3">
        <f>'BCDTRtSY-state-adjusted'!X6</f>
        <v>1.0571182903818173</v>
      </c>
      <c r="Y3">
        <f>'BCDTRtSY-state-adjusted'!Y6</f>
        <v>1.0561472756080619</v>
      </c>
      <c r="Z3">
        <f>'BCDTRtSY-state-adjusted'!Z6</f>
        <v>1.054817908484037</v>
      </c>
      <c r="AA3">
        <f>'BCDTRtSY-state-adjusted'!AA6</f>
        <v>1.0533256762450947</v>
      </c>
      <c r="AB3">
        <f>'BCDTRtSY-state-adjusted'!AB6</f>
        <v>1.0517707835835639</v>
      </c>
    </row>
    <row r="4" spans="1:28">
      <c r="A4" t="s">
        <v>116</v>
      </c>
      <c r="B4">
        <f>'BCDTRtSY-state-adjusted'!B7</f>
        <v>1</v>
      </c>
      <c r="C4">
        <f>'BCDTRtSY-state-adjusted'!C7</f>
        <v>1</v>
      </c>
      <c r="D4">
        <f>'BCDTRtSY-state-adjusted'!D7</f>
        <v>1.0290845651281828</v>
      </c>
      <c r="E4">
        <f>'BCDTRtSY-state-adjusted'!E7</f>
        <v>1.045524601487589</v>
      </c>
      <c r="F4">
        <f>'BCDTRtSY-state-adjusted'!F7</f>
        <v>1.0511943889734221</v>
      </c>
      <c r="G4">
        <f>'BCDTRtSY-state-adjusted'!G7</f>
        <v>1.061634666303924</v>
      </c>
      <c r="H4">
        <f>'BCDTRtSY-state-adjusted'!H7</f>
        <v>1.0761370492969946</v>
      </c>
      <c r="I4">
        <f>'BCDTRtSY-state-adjusted'!I7</f>
        <v>1.0899517152302935</v>
      </c>
      <c r="J4">
        <f>'BCDTRtSY-state-adjusted'!J7</f>
        <v>1.1080441429559511</v>
      </c>
      <c r="K4">
        <f>'BCDTRtSY-state-adjusted'!K7</f>
        <v>1.127953955120744</v>
      </c>
      <c r="L4">
        <f>'BCDTRtSY-state-adjusted'!L7</f>
        <v>1.1501276081143057</v>
      </c>
      <c r="M4">
        <f>'BCDTRtSY-state-adjusted'!M7</f>
        <v>1.1747478081451688</v>
      </c>
      <c r="N4">
        <f>'BCDTRtSY-state-adjusted'!N7</f>
        <v>1.1925072436019086</v>
      </c>
      <c r="O4">
        <f>'BCDTRtSY-state-adjusted'!O7</f>
        <v>1.210299582455646</v>
      </c>
      <c r="P4">
        <f>'BCDTRtSY-state-adjusted'!P7</f>
        <v>1.2278096983139748</v>
      </c>
      <c r="Q4">
        <f>'BCDTRtSY-state-adjusted'!Q7</f>
        <v>1.2443162622915556</v>
      </c>
      <c r="R4">
        <f>'BCDTRtSY-state-adjusted'!R7</f>
        <v>1.2612248619840258</v>
      </c>
      <c r="S4">
        <f>'BCDTRtSY-state-adjusted'!S7</f>
        <v>1.2763622854184489</v>
      </c>
      <c r="T4">
        <f>'BCDTRtSY-state-adjusted'!T7</f>
        <v>1.2925056453727299</v>
      </c>
      <c r="U4">
        <f>'BCDTRtSY-state-adjusted'!U7</f>
        <v>1.3098838705932303</v>
      </c>
      <c r="V4">
        <f>'BCDTRtSY-state-adjusted'!V7</f>
        <v>1.327128057655699</v>
      </c>
      <c r="W4">
        <f>'BCDTRtSY-state-adjusted'!W7</f>
        <v>1.34444552017893</v>
      </c>
      <c r="X4">
        <f>'BCDTRtSY-state-adjusted'!X7</f>
        <v>1.3607308021425448</v>
      </c>
      <c r="Y4">
        <f>'BCDTRtSY-state-adjusted'!Y7</f>
        <v>1.3750749104965225</v>
      </c>
      <c r="Z4">
        <f>'BCDTRtSY-state-adjusted'!Z7</f>
        <v>1.389548159210102</v>
      </c>
      <c r="AA4">
        <f>'BCDTRtSY-state-adjusted'!AA7</f>
        <v>1.4029582751141787</v>
      </c>
      <c r="AB4">
        <f>'BCDTRtSY-state-adjusted'!AB7</f>
        <v>1.4167965640335209</v>
      </c>
    </row>
    <row r="5" spans="1:28">
      <c r="A5" t="s">
        <v>121</v>
      </c>
      <c r="B5">
        <f>'BCDTRtSY-state-adjusted'!B8</f>
        <v>1</v>
      </c>
      <c r="C5">
        <f>'BCDTRtSY-state-adjusted'!C8</f>
        <v>1</v>
      </c>
      <c r="D5">
        <f>'BCDTRtSY-state-adjusted'!D8</f>
        <v>1.0613741430576102</v>
      </c>
      <c r="E5">
        <f>'BCDTRtSY-state-adjusted'!E8</f>
        <v>1.1062005486973425</v>
      </c>
      <c r="F5">
        <f>'BCDTRtSY-state-adjusted'!F8</f>
        <v>1.1394064321761272</v>
      </c>
      <c r="G5">
        <f>'BCDTRtSY-state-adjusted'!G8</f>
        <v>1.1677202682942969</v>
      </c>
      <c r="H5">
        <f>'BCDTRtSY-state-adjusted'!H8</f>
        <v>1.1913575752847689</v>
      </c>
      <c r="I5">
        <f>'BCDTRtSY-state-adjusted'!I8</f>
        <v>1.2109800288395283</v>
      </c>
      <c r="J5">
        <f>'BCDTRtSY-state-adjusted'!J8</f>
        <v>1.2283912998395337</v>
      </c>
      <c r="K5">
        <f>'BCDTRtSY-state-adjusted'!K8</f>
        <v>1.2466072915514592</v>
      </c>
      <c r="L5">
        <f>'BCDTRtSY-state-adjusted'!L8</f>
        <v>1.2598185852742867</v>
      </c>
      <c r="M5">
        <f>'BCDTRtSY-state-adjusted'!M8</f>
        <v>1.2729674624933069</v>
      </c>
      <c r="N5">
        <f>'BCDTRtSY-state-adjusted'!N8</f>
        <v>1.2824483666761575</v>
      </c>
      <c r="O5">
        <f>'BCDTRtSY-state-adjusted'!O8</f>
        <v>1.2927584050309693</v>
      </c>
      <c r="P5">
        <f>'BCDTRtSY-state-adjusted'!P8</f>
        <v>1.3017802214103058</v>
      </c>
      <c r="Q5">
        <f>'BCDTRtSY-state-adjusted'!Q8</f>
        <v>1.3081523523596257</v>
      </c>
      <c r="R5">
        <f>'BCDTRtSY-state-adjusted'!R8</f>
        <v>1.3148607218597044</v>
      </c>
      <c r="S5">
        <f>'BCDTRtSY-state-adjusted'!S8</f>
        <v>1.3196802935002108</v>
      </c>
      <c r="T5">
        <f>'BCDTRtSY-state-adjusted'!T8</f>
        <v>1.3245104030988233</v>
      </c>
      <c r="U5">
        <f>'BCDTRtSY-state-adjusted'!U8</f>
        <v>1.3278215949732839</v>
      </c>
      <c r="V5">
        <f>'BCDTRtSY-state-adjusted'!V8</f>
        <v>1.3319084463860711</v>
      </c>
      <c r="W5">
        <f>'BCDTRtSY-state-adjusted'!W8</f>
        <v>1.3366151623315787</v>
      </c>
      <c r="X5">
        <f>'BCDTRtSY-state-adjusted'!X8</f>
        <v>1.3397372925063722</v>
      </c>
      <c r="Y5">
        <f>'BCDTRtSY-state-adjusted'!Y8</f>
        <v>1.3435460868454372</v>
      </c>
      <c r="Z5">
        <f>'BCDTRtSY-state-adjusted'!Z8</f>
        <v>1.345127546292415</v>
      </c>
      <c r="AA5">
        <f>'BCDTRtSY-state-adjusted'!AA8</f>
        <v>1.3463077181658913</v>
      </c>
      <c r="AB5">
        <f>'BCDTRtSY-state-adjusted'!AB8</f>
        <v>1.3471920672751154</v>
      </c>
    </row>
    <row r="6" spans="1:28">
      <c r="A6" t="s">
        <v>122</v>
      </c>
      <c r="B6">
        <f>'BCDTRtSY-state-adjusted'!B9</f>
        <v>1</v>
      </c>
      <c r="C6">
        <f>'BCDTRtSY-state-adjusted'!C9</f>
        <v>1</v>
      </c>
      <c r="D6">
        <f>'BCDTRtSY-state-adjusted'!D9</f>
        <v>0.99974282619113286</v>
      </c>
      <c r="E6">
        <f>'BCDTRtSY-state-adjusted'!E9</f>
        <v>0.99244344636372206</v>
      </c>
      <c r="F6">
        <f>'BCDTRtSY-state-adjusted'!F9</f>
        <v>0.97926114527357078</v>
      </c>
      <c r="G6">
        <f>'BCDTRtSY-state-adjusted'!G9</f>
        <v>0.96855895165837891</v>
      </c>
      <c r="H6">
        <f>'BCDTRtSY-state-adjusted'!H9</f>
        <v>0.96017175585181624</v>
      </c>
      <c r="I6">
        <f>'BCDTRtSY-state-adjusted'!I9</f>
        <v>0.95160945601508495</v>
      </c>
      <c r="J6">
        <f>'BCDTRtSY-state-adjusted'!J9</f>
        <v>0.94537431167716512</v>
      </c>
      <c r="K6">
        <f>'BCDTRtSY-state-adjusted'!K9</f>
        <v>0.94033538960447516</v>
      </c>
      <c r="L6">
        <f>'BCDTRtSY-state-adjusted'!L9</f>
        <v>0.93653026017127949</v>
      </c>
      <c r="M6">
        <f>'BCDTRtSY-state-adjusted'!M9</f>
        <v>0.93400808277621938</v>
      </c>
      <c r="N6">
        <f>'BCDTRtSY-state-adjusted'!N9</f>
        <v>0.92859509051893907</v>
      </c>
      <c r="O6">
        <f>'BCDTRtSY-state-adjusted'!O9</f>
        <v>0.92323824105622176</v>
      </c>
      <c r="P6">
        <f>'BCDTRtSY-state-adjusted'!P9</f>
        <v>0.91774086842840918</v>
      </c>
      <c r="Q6">
        <f>'BCDTRtSY-state-adjusted'!Q9</f>
        <v>0.91219446126802994</v>
      </c>
      <c r="R6">
        <f>'BCDTRtSY-state-adjusted'!R9</f>
        <v>0.90675757026033199</v>
      </c>
      <c r="S6">
        <f>'BCDTRtSY-state-adjusted'!S9</f>
        <v>0.90034068960153779</v>
      </c>
      <c r="T6">
        <f>'BCDTRtSY-state-adjusted'!T9</f>
        <v>0.89435560357359523</v>
      </c>
      <c r="U6">
        <f>'BCDTRtSY-state-adjusted'!U9</f>
        <v>0.88867552306769604</v>
      </c>
      <c r="V6">
        <f>'BCDTRtSY-state-adjusted'!V9</f>
        <v>0.88301534652401203</v>
      </c>
      <c r="W6">
        <f>'BCDTRtSY-state-adjusted'!W9</f>
        <v>0.87734357297272692</v>
      </c>
      <c r="X6">
        <f>'BCDTRtSY-state-adjusted'!X9</f>
        <v>0.87124258401710908</v>
      </c>
      <c r="Y6">
        <f>'BCDTRtSY-state-adjusted'!Y9</f>
        <v>0.86454229566590934</v>
      </c>
      <c r="Z6">
        <f>'BCDTRtSY-state-adjusted'!Z9</f>
        <v>0.85773085537566573</v>
      </c>
      <c r="AA6">
        <f>'BCDTRtSY-state-adjusted'!AA9</f>
        <v>0.85058595643238322</v>
      </c>
      <c r="AB6">
        <f>'BCDTRtSY-state-adjusted'!AB9</f>
        <v>0.84372441523941966</v>
      </c>
    </row>
    <row r="7" spans="1:28">
      <c r="A7" t="s">
        <v>123</v>
      </c>
      <c r="B7">
        <f>'BCDTRtSY-state-adjusted'!B10</f>
        <v>1</v>
      </c>
      <c r="C7">
        <f>'BCDTRtSY-state-adjusted'!C10</f>
        <v>1</v>
      </c>
      <c r="D7">
        <f>'BCDTRtSY-state-adjusted'!D10</f>
        <v>1.003678353730783</v>
      </c>
      <c r="E7">
        <f>'BCDTRtSY-state-adjusted'!E10</f>
        <v>1.0095359509697446</v>
      </c>
      <c r="F7">
        <f>'BCDTRtSY-state-adjusted'!F10</f>
        <v>1.0124603651083284</v>
      </c>
      <c r="G7">
        <f>'BCDTRtSY-state-adjusted'!G10</f>
        <v>1.0151765475206316</v>
      </c>
      <c r="H7">
        <f>'BCDTRtSY-state-adjusted'!H10</f>
        <v>1.0168711478689221</v>
      </c>
      <c r="I7">
        <f>'BCDTRtSY-state-adjusted'!I10</f>
        <v>1.0189238825574765</v>
      </c>
      <c r="J7">
        <f>'BCDTRtSY-state-adjusted'!J10</f>
        <v>1.0210259507997912</v>
      </c>
      <c r="K7">
        <f>'BCDTRtSY-state-adjusted'!K10</f>
        <v>1.0216167561985434</v>
      </c>
      <c r="L7">
        <f>'BCDTRtSY-state-adjusted'!L10</f>
        <v>1.0225623960846182</v>
      </c>
      <c r="M7">
        <f>'BCDTRtSY-state-adjusted'!M10</f>
        <v>1.0226187992696081</v>
      </c>
      <c r="N7">
        <f>'BCDTRtSY-state-adjusted'!N10</f>
        <v>1.023469983609778</v>
      </c>
      <c r="O7">
        <f>'BCDTRtSY-state-adjusted'!O10</f>
        <v>1.0247655955211761</v>
      </c>
      <c r="P7">
        <f>'BCDTRtSY-state-adjusted'!P10</f>
        <v>1.0260349240242714</v>
      </c>
      <c r="Q7">
        <f>'BCDTRtSY-state-adjusted'!Q10</f>
        <v>1.0265994437672332</v>
      </c>
      <c r="R7">
        <f>'BCDTRtSY-state-adjusted'!R10</f>
        <v>1.0273922117252543</v>
      </c>
      <c r="S7">
        <f>'BCDTRtSY-state-adjusted'!S10</f>
        <v>1.0273238043118318</v>
      </c>
      <c r="T7">
        <f>'BCDTRtSY-state-adjusted'!T10</f>
        <v>1.0269970750554653</v>
      </c>
      <c r="U7">
        <f>'BCDTRtSY-state-adjusted'!U10</f>
        <v>1.0264462735326916</v>
      </c>
      <c r="V7">
        <f>'BCDTRtSY-state-adjusted'!V10</f>
        <v>1.026225303390752</v>
      </c>
      <c r="W7">
        <f>'BCDTRtSY-state-adjusted'!W10</f>
        <v>1.0258782178067294</v>
      </c>
      <c r="X7">
        <f>'BCDTRtSY-state-adjusted'!X10</f>
        <v>1.0250844212045211</v>
      </c>
      <c r="Y7">
        <f>'BCDTRtSY-state-adjusted'!Y10</f>
        <v>1.0235852979876627</v>
      </c>
      <c r="Z7">
        <f>'BCDTRtSY-state-adjusted'!Z10</f>
        <v>1.0220418661080124</v>
      </c>
      <c r="AA7">
        <f>'BCDTRtSY-state-adjusted'!AA10</f>
        <v>1.0203537918361449</v>
      </c>
      <c r="AB7">
        <f>'BCDTRtSY-state-adjusted'!AB10</f>
        <v>1.01905717461267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0.99389758166907327</v>
      </c>
      <c r="E2">
        <f>'BCDTRtSY-state-adjusted'!E13</f>
        <v>0.99326728022424859</v>
      </c>
      <c r="F2">
        <f>'BCDTRtSY-state-adjusted'!F13</f>
        <v>0.99227982586816299</v>
      </c>
      <c r="G2">
        <f>'BCDTRtSY-state-adjusted'!G13</f>
        <v>0.99246468511824681</v>
      </c>
      <c r="H2">
        <f>'BCDTRtSY-state-adjusted'!H13</f>
        <v>0.99739588024795534</v>
      </c>
      <c r="I2">
        <f>'BCDTRtSY-state-adjusted'!I13</f>
        <v>1.0011862969392424</v>
      </c>
      <c r="J2">
        <f>'BCDTRtSY-state-adjusted'!J13</f>
        <v>1.0067631439374449</v>
      </c>
      <c r="K2">
        <f>'BCDTRtSY-state-adjusted'!K13</f>
        <v>1.0110628922952389</v>
      </c>
      <c r="L2">
        <f>'BCDTRtSY-state-adjusted'!L13</f>
        <v>1.0172837459864823</v>
      </c>
      <c r="M2">
        <f>'BCDTRtSY-state-adjusted'!M13</f>
        <v>1.0242124472746781</v>
      </c>
      <c r="N2">
        <f>'BCDTRtSY-state-adjusted'!N13</f>
        <v>1.0314848037838247</v>
      </c>
      <c r="O2">
        <f>'BCDTRtSY-state-adjusted'!O13</f>
        <v>1.0400158704622129</v>
      </c>
      <c r="P2">
        <f>'BCDTRtSY-state-adjusted'!P13</f>
        <v>1.0497749591328762</v>
      </c>
      <c r="Q2">
        <f>'BCDTRtSY-state-adjusted'!Q13</f>
        <v>1.0599037567246425</v>
      </c>
      <c r="R2">
        <f>'BCDTRtSY-state-adjusted'!R13</f>
        <v>1.070548535093454</v>
      </c>
      <c r="S2">
        <f>'BCDTRtSY-state-adjusted'!S13</f>
        <v>1.079890535511874</v>
      </c>
      <c r="T2">
        <f>'BCDTRtSY-state-adjusted'!T13</f>
        <v>1.0886229302004187</v>
      </c>
      <c r="U2">
        <f>'BCDTRtSY-state-adjusted'!U13</f>
        <v>1.0948168265878919</v>
      </c>
      <c r="V2">
        <f>'BCDTRtSY-state-adjusted'!V13</f>
        <v>1.1007449907707965</v>
      </c>
      <c r="W2">
        <f>'BCDTRtSY-state-adjusted'!W13</f>
        <v>1.1080182917952086</v>
      </c>
      <c r="X2">
        <f>'BCDTRtSY-state-adjusted'!X13</f>
        <v>1.1157535056489079</v>
      </c>
      <c r="Y2">
        <f>'BCDTRtSY-state-adjusted'!Y13</f>
        <v>1.1241636580617098</v>
      </c>
      <c r="Z2">
        <f>'BCDTRtSY-state-adjusted'!Z13</f>
        <v>1.1313139626625606</v>
      </c>
      <c r="AA2">
        <f>'BCDTRtSY-state-adjusted'!AA13</f>
        <v>1.1392325891496948</v>
      </c>
      <c r="AB2">
        <f>'BCDTRtSY-state-adjusted'!AB13</f>
        <v>1.1464040598627276</v>
      </c>
    </row>
    <row r="3" spans="1:28">
      <c r="A3" t="s">
        <v>118</v>
      </c>
      <c r="B3">
        <f>'BCDTRtSY-state-adjusted'!B14</f>
        <v>1</v>
      </c>
      <c r="C3">
        <f>'BCDTRtSY-state-adjusted'!C14</f>
        <v>1</v>
      </c>
      <c r="D3">
        <f>'BCDTRtSY-state-adjusted'!D14</f>
        <v>1.0085095589700137</v>
      </c>
      <c r="E3">
        <f>'BCDTRtSY-state-adjusted'!E14</f>
        <v>1.0212133974785811</v>
      </c>
      <c r="F3">
        <f>'BCDTRtSY-state-adjusted'!F14</f>
        <v>1.033015320335757</v>
      </c>
      <c r="G3">
        <f>'BCDTRtSY-state-adjusted'!G14</f>
        <v>1.0422026397516726</v>
      </c>
      <c r="H3">
        <f>'BCDTRtSY-state-adjusted'!H14</f>
        <v>1.0537153601790976</v>
      </c>
      <c r="I3">
        <f>'BCDTRtSY-state-adjusted'!I14</f>
        <v>1.0610645741379561</v>
      </c>
      <c r="J3">
        <f>'BCDTRtSY-state-adjusted'!J14</f>
        <v>1.0693174211399941</v>
      </c>
      <c r="K3">
        <f>'BCDTRtSY-state-adjusted'!K14</f>
        <v>1.0753985250017053</v>
      </c>
      <c r="L3">
        <f>'BCDTRtSY-state-adjusted'!L14</f>
        <v>1.0827245142615434</v>
      </c>
      <c r="M3">
        <f>'BCDTRtSY-state-adjusted'!M14</f>
        <v>1.0899153791036449</v>
      </c>
      <c r="N3">
        <f>'BCDTRtSY-state-adjusted'!N14</f>
        <v>1.0963114290517846</v>
      </c>
      <c r="O3">
        <f>'BCDTRtSY-state-adjusted'!O14</f>
        <v>1.1020160040632088</v>
      </c>
      <c r="P3">
        <f>'BCDTRtSY-state-adjusted'!P14</f>
        <v>1.1067194272901526</v>
      </c>
      <c r="Q3">
        <f>'BCDTRtSY-state-adjusted'!Q14</f>
        <v>1.1108600233996928</v>
      </c>
      <c r="R3">
        <f>'BCDTRtSY-state-adjusted'!R14</f>
        <v>1.1151782958235608</v>
      </c>
      <c r="S3">
        <f>'BCDTRtSY-state-adjusted'!S14</f>
        <v>1.1189001863946662</v>
      </c>
      <c r="T3">
        <f>'BCDTRtSY-state-adjusted'!T14</f>
        <v>1.1220940975580094</v>
      </c>
      <c r="U3">
        <f>'BCDTRtSY-state-adjusted'!U14</f>
        <v>1.1242795547380713</v>
      </c>
      <c r="V3">
        <f>'BCDTRtSY-state-adjusted'!V14</f>
        <v>1.1267759093793301</v>
      </c>
      <c r="W3">
        <f>'BCDTRtSY-state-adjusted'!W14</f>
        <v>1.131122241930052</v>
      </c>
      <c r="X3">
        <f>'BCDTRtSY-state-adjusted'!X14</f>
        <v>1.1356727065085614</v>
      </c>
      <c r="Y3">
        <f>'BCDTRtSY-state-adjusted'!Y14</f>
        <v>1.1401254204775546</v>
      </c>
      <c r="Z3">
        <f>'BCDTRtSY-state-adjusted'!Z14</f>
        <v>1.1424783195352841</v>
      </c>
      <c r="AA3">
        <f>'BCDTRtSY-state-adjusted'!AA14</f>
        <v>1.144754221297887</v>
      </c>
      <c r="AB3">
        <f>'BCDTRtSY-state-adjusted'!AB14</f>
        <v>1.1464725541345897</v>
      </c>
    </row>
    <row r="4" spans="1:28">
      <c r="A4" t="s">
        <v>116</v>
      </c>
      <c r="B4">
        <f>'BCDTRtSY-state-adjusted'!B15</f>
        <v>1</v>
      </c>
      <c r="C4">
        <f>'BCDTRtSY-state-adjusted'!C15</f>
        <v>1</v>
      </c>
      <c r="D4">
        <f>'BCDTRtSY-state-adjusted'!D15</f>
        <v>1.0245439372145482</v>
      </c>
      <c r="E4">
        <f>'BCDTRtSY-state-adjusted'!E15</f>
        <v>1.0412609860137068</v>
      </c>
      <c r="F4">
        <f>'BCDTRtSY-state-adjusted'!F15</f>
        <v>1.0514959735482172</v>
      </c>
      <c r="G4">
        <f>'BCDTRtSY-state-adjusted'!G15</f>
        <v>1.0653676995622163</v>
      </c>
      <c r="H4">
        <f>'BCDTRtSY-state-adjusted'!H15</f>
        <v>1.0821460234621574</v>
      </c>
      <c r="I4">
        <f>'BCDTRtSY-state-adjusted'!I15</f>
        <v>1.0987623253543382</v>
      </c>
      <c r="J4">
        <f>'BCDTRtSY-state-adjusted'!J15</f>
        <v>1.1184354614139544</v>
      </c>
      <c r="K4">
        <f>'BCDTRtSY-state-adjusted'!K15</f>
        <v>1.1395323715050891</v>
      </c>
      <c r="L4">
        <f>'BCDTRtSY-state-adjusted'!L15</f>
        <v>1.1623539362758186</v>
      </c>
      <c r="M4">
        <f>'BCDTRtSY-state-adjusted'!M15</f>
        <v>1.187011432769346</v>
      </c>
      <c r="N4">
        <f>'BCDTRtSY-state-adjusted'!N15</f>
        <v>1.2072003065742445</v>
      </c>
      <c r="O4">
        <f>'BCDTRtSY-state-adjusted'!O15</f>
        <v>1.227550775757341</v>
      </c>
      <c r="P4">
        <f>'BCDTRtSY-state-adjusted'!P15</f>
        <v>1.2478411005926509</v>
      </c>
      <c r="Q4">
        <f>'BCDTRtSY-state-adjusted'!Q15</f>
        <v>1.2675648310312795</v>
      </c>
      <c r="R4">
        <f>'BCDTRtSY-state-adjusted'!R15</f>
        <v>1.2876988461759342</v>
      </c>
      <c r="S4">
        <f>'BCDTRtSY-state-adjusted'!S15</f>
        <v>1.3065829307553307</v>
      </c>
      <c r="T4">
        <f>'BCDTRtSY-state-adjusted'!T15</f>
        <v>1.3262611762244283</v>
      </c>
      <c r="U4">
        <f>'BCDTRtSY-state-adjusted'!U15</f>
        <v>1.3468984358932496</v>
      </c>
      <c r="V4">
        <f>'BCDTRtSY-state-adjusted'!V15</f>
        <v>1.3675545755076184</v>
      </c>
      <c r="W4">
        <f>'BCDTRtSY-state-adjusted'!W15</f>
        <v>1.3883697671560271</v>
      </c>
      <c r="X4">
        <f>'BCDTRtSY-state-adjusted'!X15</f>
        <v>1.4085793029166473</v>
      </c>
      <c r="Y4">
        <f>'BCDTRtSY-state-adjusted'!Y15</f>
        <v>1.4275400170889099</v>
      </c>
      <c r="Z4">
        <f>'BCDTRtSY-state-adjusted'!Z15</f>
        <v>1.4467027064717835</v>
      </c>
      <c r="AA4">
        <f>'BCDTRtSY-state-adjusted'!AA15</f>
        <v>1.4652332751970207</v>
      </c>
      <c r="AB4">
        <f>'BCDTRtSY-state-adjusted'!AB15</f>
        <v>1.4841959574898407</v>
      </c>
    </row>
    <row r="5" spans="1:28">
      <c r="A5" t="s">
        <v>121</v>
      </c>
      <c r="B5">
        <f>'BCDTRtSY-state-adjusted'!B16</f>
        <v>1</v>
      </c>
      <c r="C5">
        <f>'BCDTRtSY-state-adjusted'!C16</f>
        <v>1</v>
      </c>
      <c r="D5">
        <f>'BCDTRtSY-state-adjusted'!D16</f>
        <v>0.97509495159885573</v>
      </c>
      <c r="E5">
        <f>'BCDTRtSY-state-adjusted'!E16</f>
        <v>1.0042905140038201</v>
      </c>
      <c r="F5">
        <f>'BCDTRtSY-state-adjusted'!F16</f>
        <v>0.98151297279607097</v>
      </c>
      <c r="G5">
        <f>'BCDTRtSY-state-adjusted'!G16</f>
        <v>0.97161666882105957</v>
      </c>
      <c r="H5">
        <f>'BCDTRtSY-state-adjusted'!H16</f>
        <v>0.97593926798534802</v>
      </c>
      <c r="I5">
        <f>'BCDTRtSY-state-adjusted'!I16</f>
        <v>0.94908421760653128</v>
      </c>
      <c r="J5">
        <f>'BCDTRtSY-state-adjusted'!J16</f>
        <v>0.95124591863663699</v>
      </c>
      <c r="K5">
        <f>'BCDTRtSY-state-adjusted'!K16</f>
        <v>0.9535522990366232</v>
      </c>
      <c r="L5">
        <f>'BCDTRtSY-state-adjusted'!L16</f>
        <v>0.94904678956732258</v>
      </c>
      <c r="M5">
        <f>'BCDTRtSY-state-adjusted'!M16</f>
        <v>0.9503533690323781</v>
      </c>
      <c r="N5">
        <f>'BCDTRtSY-state-adjusted'!N16</f>
        <v>0.95081916483726947</v>
      </c>
      <c r="O5">
        <f>'BCDTRtSY-state-adjusted'!O16</f>
        <v>0.95263735235194313</v>
      </c>
      <c r="P5">
        <f>'BCDTRtSY-state-adjusted'!P16</f>
        <v>0.95125372706235067</v>
      </c>
      <c r="Q5">
        <f>'BCDTRtSY-state-adjusted'!Q16</f>
        <v>0.95140890571109682</v>
      </c>
      <c r="R5">
        <f>'BCDTRtSY-state-adjusted'!R16</f>
        <v>0.95060119041828084</v>
      </c>
      <c r="S5">
        <f>'BCDTRtSY-state-adjusted'!S16</f>
        <v>0.94771119708571283</v>
      </c>
      <c r="T5">
        <f>'BCDTRtSY-state-adjusted'!T16</f>
        <v>0.94277073222358532</v>
      </c>
      <c r="U5">
        <f>'BCDTRtSY-state-adjusted'!U16</f>
        <v>0.93846708993561223</v>
      </c>
      <c r="V5">
        <f>'BCDTRtSY-state-adjusted'!V16</f>
        <v>0.93657403208002477</v>
      </c>
      <c r="W5">
        <f>'BCDTRtSY-state-adjusted'!W16</f>
        <v>0.93411221936337185</v>
      </c>
      <c r="X5">
        <f>'BCDTRtSY-state-adjusted'!X16</f>
        <v>0.93409007239982655</v>
      </c>
      <c r="Y5">
        <f>'BCDTRtSY-state-adjusted'!Y16</f>
        <v>0.93761299492763572</v>
      </c>
      <c r="Z5">
        <f>'BCDTRtSY-state-adjusted'!Z16</f>
        <v>0.93860597179619287</v>
      </c>
      <c r="AA5">
        <f>'BCDTRtSY-state-adjusted'!AA16</f>
        <v>0.9339686119061642</v>
      </c>
      <c r="AB5">
        <f>'BCDTRtSY-state-adjusted'!AB16</f>
        <v>0.9299875058438386</v>
      </c>
    </row>
    <row r="6" spans="1:28">
      <c r="A6" t="s">
        <v>122</v>
      </c>
      <c r="B6">
        <f>'BCDTRtSY-state-adjusted'!B17</f>
        <v>1</v>
      </c>
      <c r="C6">
        <f>'BCDTRtSY-state-adjusted'!C17</f>
        <v>1</v>
      </c>
      <c r="D6">
        <f>'BCDTRtSY-state-adjusted'!D17</f>
        <v>0.98993318271985375</v>
      </c>
      <c r="E6">
        <f>'BCDTRtSY-state-adjusted'!E17</f>
        <v>1.0067959507713367</v>
      </c>
      <c r="F6">
        <f>'BCDTRtSY-state-adjusted'!F17</f>
        <v>1.0256017896758578</v>
      </c>
      <c r="G6">
        <f>'BCDTRtSY-state-adjusted'!G17</f>
        <v>1.0409924207014718</v>
      </c>
      <c r="H6">
        <f>'BCDTRtSY-state-adjusted'!H17</f>
        <v>1.0572359590063234</v>
      </c>
      <c r="I6">
        <f>'BCDTRtSY-state-adjusted'!I17</f>
        <v>1.0722615735123771</v>
      </c>
      <c r="J6">
        <f>'BCDTRtSY-state-adjusted'!J17</f>
        <v>1.0892640159196538</v>
      </c>
      <c r="K6">
        <f>'BCDTRtSY-state-adjusted'!K17</f>
        <v>1.1065034743128361</v>
      </c>
      <c r="L6">
        <f>'BCDTRtSY-state-adjusted'!L17</f>
        <v>1.1243987965085347</v>
      </c>
      <c r="M6">
        <f>'BCDTRtSY-state-adjusted'!M17</f>
        <v>1.143231675912326</v>
      </c>
      <c r="N6">
        <f>'BCDTRtSY-state-adjusted'!N17</f>
        <v>1.1580621254966583</v>
      </c>
      <c r="O6">
        <f>'BCDTRtSY-state-adjusted'!O17</f>
        <v>1.1695628574265311</v>
      </c>
      <c r="P6">
        <f>'BCDTRtSY-state-adjusted'!P17</f>
        <v>1.1810193764268908</v>
      </c>
      <c r="Q6">
        <f>'BCDTRtSY-state-adjusted'!Q17</f>
        <v>1.1912826219445876</v>
      </c>
      <c r="R6">
        <f>'BCDTRtSY-state-adjusted'!R17</f>
        <v>1.2015945217563517</v>
      </c>
      <c r="S6">
        <f>'BCDTRtSY-state-adjusted'!S17</f>
        <v>1.2111246229685542</v>
      </c>
      <c r="T6">
        <f>'BCDTRtSY-state-adjusted'!T17</f>
        <v>1.2216568128595928</v>
      </c>
      <c r="U6">
        <f>'BCDTRtSY-state-adjusted'!U17</f>
        <v>1.231737804485983</v>
      </c>
      <c r="V6">
        <f>'BCDTRtSY-state-adjusted'!V17</f>
        <v>1.2416346130596299</v>
      </c>
      <c r="W6">
        <f>'BCDTRtSY-state-adjusted'!W17</f>
        <v>1.2528071853362965</v>
      </c>
      <c r="X6">
        <f>'BCDTRtSY-state-adjusted'!X17</f>
        <v>1.2640885822244881</v>
      </c>
      <c r="Y6">
        <f>'BCDTRtSY-state-adjusted'!Y17</f>
        <v>1.2755123166641409</v>
      </c>
      <c r="Z6">
        <f>'BCDTRtSY-state-adjusted'!Z17</f>
        <v>1.2861478486271953</v>
      </c>
      <c r="AA6">
        <f>'BCDTRtSY-state-adjusted'!AA17</f>
        <v>1.2964450599113722</v>
      </c>
      <c r="AB6">
        <f>'BCDTRtSY-state-adjusted'!AB17</f>
        <v>1.308090173242874</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2026-08-14T21:49:17Z</dcterms:modified>
</cp:coreProperties>
</file>