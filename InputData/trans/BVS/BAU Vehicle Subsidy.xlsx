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H\trans\BVS\"/>
    </mc:Choice>
  </mc:AlternateContent>
  <xr:revisionPtr revIDLastSave="0" documentId="8_{16C46D2A-219D-4A9F-A40F-410CAB2FC5FF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I2" i="5"/>
  <c r="I8" i="5" s="1"/>
  <c r="H2" i="5"/>
  <c r="H8" i="5" s="1"/>
  <c r="G2" i="5"/>
  <c r="G8" i="5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H69" i="2"/>
  <c r="G6" i="5" s="1"/>
  <c r="G69" i="2"/>
  <c r="F6" i="5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AA64" i="2"/>
  <c r="AA69" i="2" s="1"/>
  <c r="Z6" i="5" s="1"/>
  <c r="Z64" i="2"/>
  <c r="Z69" i="2" s="1"/>
  <c r="Y6" i="5" s="1"/>
  <c r="Y64" i="2"/>
  <c r="Y69" i="2" s="1"/>
  <c r="X6" i="5" s="1"/>
  <c r="X64" i="2"/>
  <c r="X69" i="2" s="1"/>
  <c r="W6" i="5" s="1"/>
  <c r="W64" i="2"/>
  <c r="W69" i="2" s="1"/>
  <c r="V6" i="5" s="1"/>
  <c r="V64" i="2"/>
  <c r="V69" i="2" s="1"/>
  <c r="U6" i="5" s="1"/>
  <c r="L64" i="2"/>
  <c r="L69" i="2" s="1"/>
  <c r="K6" i="5" s="1"/>
  <c r="J64" i="2"/>
  <c r="J69" i="2" s="1"/>
  <c r="I6" i="5" s="1"/>
  <c r="I64" i="2"/>
  <c r="I69" i="2" s="1"/>
  <c r="H6" i="5" s="1"/>
  <c r="H64" i="2"/>
  <c r="G64" i="2"/>
  <c r="F64" i="2"/>
  <c r="F69" i="2" s="1"/>
  <c r="E6" i="5" s="1"/>
  <c r="E64" i="2"/>
  <c r="E69" i="2" s="1"/>
  <c r="D6" i="5" s="1"/>
  <c r="D64" i="2"/>
  <c r="D69" i="2" s="1"/>
  <c r="C6" i="5" s="1"/>
  <c r="C64" i="2"/>
  <c r="C69" i="2" s="1"/>
  <c r="B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O63" i="2"/>
  <c r="O68" i="2" s="1"/>
  <c r="N2" i="5" s="1"/>
  <c r="N8" i="5" s="1"/>
  <c r="N63" i="2"/>
  <c r="N68" i="2" s="1"/>
  <c r="M2" i="5" s="1"/>
  <c r="M8" i="5" s="1"/>
  <c r="M63" i="2"/>
  <c r="M68" i="2" s="1"/>
  <c r="L2" i="5" s="1"/>
  <c r="L8" i="5" s="1"/>
  <c r="L63" i="2"/>
  <c r="L68" i="2" s="1"/>
  <c r="K2" i="5" s="1"/>
  <c r="K8" i="5" s="1"/>
  <c r="K63" i="2"/>
  <c r="K68" i="2" s="1"/>
  <c r="J2" i="5" s="1"/>
  <c r="J8" i="5" s="1"/>
  <c r="J63" i="2"/>
  <c r="J68" i="2" s="1"/>
  <c r="I63" i="2"/>
  <c r="I68" i="2" s="1"/>
  <c r="H63" i="2"/>
  <c r="H68" i="2" s="1"/>
  <c r="M2" i="6" l="1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<sst xmlns="http://schemas.openxmlformats.org/spreadsheetml/2006/main" count="491" uniqueCount="240">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</sst>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94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NH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0</v>
      </c>
      <c r="E63" s="5">
        <f>SUMIFS('State EV Rebates'!$E$5:$E$24,'State EV Rebates'!$A$5:$A$24,About!$B$2)*$N$79</f>
        <v>0</v>
      </c>
      <c r="F63" s="5">
        <f>SUMIFS('State EV Rebates'!$F$5:$F$24,'State EV Rebates'!$A$5:$A$24,About!$B$2)*$O$79</f>
        <v>0</v>
      </c>
      <c r="G63" s="5">
        <f>SUMIFS('State EV Rebates'!$G$5:$G$24,'State EV Rebates'!$A$5:$A$24,About!$B$2)*$P$79</f>
        <v>0</v>
      </c>
      <c r="H63" s="5">
        <f>SUMIFS('State EV Rebates'!$H$5:$H$24,'State EV Rebates'!$A$5:$A$24,About!$B$2)*$Q$79</f>
        <v>0</v>
      </c>
      <c r="I63" s="5">
        <f>SUMIFS('State EV Rebates'!$I$5:$I$24,'State EV Rebates'!$A$5:$A$24,About!$B$2)*$R$79</f>
        <v>0</v>
      </c>
      <c r="J63" s="5">
        <f>SUMIFS('State EV Rebates'!$J$5:$J$24,'State EV Rebates'!$A$5:$A$24,About!$B$2)*$S$79</f>
        <v>0</v>
      </c>
      <c r="K63" s="5">
        <f>SUMIFS('State EV Rebates'!$K$5:$K$24,'State EV Rebates'!$A$5:$A$24,About!$B$2)*$T$79</f>
        <v>0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0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1368.5857570401331</v>
      </c>
      <c r="E68" s="5">
        <f t="shared" si="0"/>
        <v>4795.9636566176632</v>
      </c>
      <c r="F68" s="5">
        <f t="shared" si="0"/>
        <v>3555.487701851609</v>
      </c>
      <c r="G68" s="5">
        <f t="shared" si="0"/>
        <v>2524.265755058736</v>
      </c>
      <c r="H68" s="5">
        <f t="shared" si="0"/>
        <v>0</v>
      </c>
      <c r="I68" s="5">
        <f t="shared" si="0"/>
        <v>0</v>
      </c>
      <c r="J68" s="5">
        <f t="shared" si="0"/>
        <v>0</v>
      </c>
      <c r="K68" s="5">
        <f t="shared" si="0"/>
        <v>0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3481.1983222883341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1646.4981124797289</v>
      </c>
      <c r="C2" s="17">
        <f>'Passenger Vehicle Calculations'!D68</f>
        <v>1368.5857570401331</v>
      </c>
      <c r="D2" s="17">
        <f>'Passenger Vehicle Calculations'!E68</f>
        <v>4795.9636566176632</v>
      </c>
      <c r="E2" s="17">
        <f>'Passenger Vehicle Calculations'!F68</f>
        <v>3555.487701851609</v>
      </c>
      <c r="F2" s="17">
        <f>'Passenger Vehicle Calculations'!G68</f>
        <v>2524.265755058736</v>
      </c>
      <c r="G2" s="17">
        <f>'Passenger Vehicle Calculations'!H68</f>
        <v>0</v>
      </c>
      <c r="H2" s="17">
        <f>'Passenger Vehicle Calculations'!I68</f>
        <v>0</v>
      </c>
      <c r="I2" s="17">
        <f>'Passenger Vehicle Calculations'!J68</f>
        <v>0</v>
      </c>
      <c r="J2" s="17">
        <f>'Passenger Vehicle Calculations'!K68</f>
        <v>0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3481.1983222883341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4795.9636566176632</v>
      </c>
      <c r="E8" s="17">
        <f t="shared" si="0"/>
        <v>3555.487701851609</v>
      </c>
      <c r="F8" s="17">
        <f t="shared" si="0"/>
        <v>2524.265755058736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2026-09-01T23:00:53Z</dcterms:modified>
</cp:coreProperties>
</file>