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H\add-outputs\HOIpTP\"/>
    </mc:Choice>
  </mc:AlternateContent>
  <xr:revisionPtr revIDLastSave="0" documentId="8_{58A56262-7CA2-45DB-BDDC-DB82EDB33D3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F15" i="19"/>
  <c r="E15" i="19"/>
  <c r="B15" i="19"/>
  <c r="X15" i="19" s="1"/>
  <c r="AB14" i="19"/>
  <c r="V14" i="19"/>
  <c r="B14" i="19"/>
  <c r="AA14" i="19" s="1"/>
  <c r="Y13" i="19"/>
  <c r="V13" i="19"/>
  <c r="T13" i="19"/>
  <c r="O13" i="19"/>
  <c r="M13" i="19"/>
  <c r="B13" i="19"/>
  <c r="J13" i="19" s="1"/>
  <c r="U12" i="19"/>
  <c r="Q12" i="19"/>
  <c r="L12" i="19"/>
  <c r="J12" i="19"/>
  <c r="H12" i="19"/>
  <c r="G12" i="19"/>
  <c r="F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T8" i="19"/>
  <c r="S8" i="19"/>
  <c r="Q8" i="19"/>
  <c r="P8" i="19"/>
  <c r="O8" i="19"/>
  <c r="K8" i="19"/>
  <c r="F8" i="19"/>
  <c r="B8" i="19"/>
  <c r="L8" i="19" s="1"/>
  <c r="U7" i="19"/>
  <c r="L7" i="19"/>
  <c r="G7" i="19"/>
  <c r="F7" i="19"/>
  <c r="B7" i="19"/>
  <c r="AA7" i="19" s="1"/>
  <c r="W6" i="19"/>
  <c r="R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T3" i="19"/>
  <c r="S3" i="19"/>
  <c r="Q3" i="19"/>
  <c r="P3" i="19"/>
  <c r="N3" i="19"/>
  <c r="F3" i="19"/>
  <c r="E3" i="19"/>
  <c r="B3" i="19"/>
  <c r="O3" i="19" s="1"/>
  <c r="AB2" i="19"/>
  <c r="W2" i="19"/>
  <c r="U2" i="19"/>
  <c r="S2" i="19"/>
  <c r="P2" i="19"/>
  <c r="O2" i="19"/>
  <c r="N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AB17" i="18"/>
  <c r="AA17" i="18"/>
  <c r="R17" i="18"/>
  <c r="Q17" i="18"/>
  <c r="M17" i="18"/>
  <c r="I17" i="18"/>
  <c r="E17" i="18"/>
  <c r="D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X15" i="18"/>
  <c r="W15" i="18"/>
  <c r="Q15" i="18"/>
  <c r="M15" i="18"/>
  <c r="K15" i="18"/>
  <c r="B15" i="18"/>
  <c r="D15" i="18" s="1"/>
  <c r="AA14" i="18"/>
  <c r="Y14" i="18"/>
  <c r="U14" i="18"/>
  <c r="R14" i="18"/>
  <c r="H14" i="18"/>
  <c r="B14" i="18"/>
  <c r="AB14" i="18" s="1"/>
  <c r="Q13" i="18"/>
  <c r="P13" i="18"/>
  <c r="B13" i="18"/>
  <c r="H13" i="18" s="1"/>
  <c r="AB12" i="18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Y8" i="18"/>
  <c r="V8" i="18"/>
  <c r="U8" i="18"/>
  <c r="Q8" i="18"/>
  <c r="N8" i="18"/>
  <c r="K8" i="18"/>
  <c r="J8" i="18"/>
  <c r="F8" i="18"/>
  <c r="E8" i="18"/>
  <c r="D8" i="18"/>
  <c r="B8" i="18"/>
  <c r="AA8" i="18" s="1"/>
  <c r="AA7" i="18"/>
  <c r="D7" i="18"/>
  <c r="C7" i="18"/>
  <c r="B7" i="18"/>
  <c r="AB7" i="18" s="1"/>
  <c r="X6" i="18"/>
  <c r="P6" i="18"/>
  <c r="K6" i="18"/>
  <c r="J6" i="18"/>
  <c r="E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S3" i="18"/>
  <c r="R3" i="18"/>
  <c r="P3" i="18"/>
  <c r="N3" i="18"/>
  <c r="M3" i="18"/>
  <c r="B3" i="18"/>
  <c r="H3" i="18" s="1"/>
  <c r="Z2" i="18"/>
  <c r="Y2" i="18"/>
  <c r="U2" i="18"/>
  <c r="P2" i="18"/>
  <c r="N2" i="18"/>
  <c r="M2" i="18"/>
  <c r="K2" i="18"/>
  <c r="J2" i="18"/>
  <c r="G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X17" i="17"/>
  <c r="R17" i="17"/>
  <c r="O17" i="17"/>
  <c r="M17" i="17"/>
  <c r="E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N15" i="17"/>
  <c r="I15" i="17"/>
  <c r="F15" i="17"/>
  <c r="C15" i="17"/>
  <c r="B15" i="17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W12" i="17"/>
  <c r="V12" i="17"/>
  <c r="T12" i="17"/>
  <c r="S12" i="17"/>
  <c r="R12" i="17"/>
  <c r="P12" i="17"/>
  <c r="M12" i="17"/>
  <c r="H12" i="17"/>
  <c r="G12" i="17"/>
  <c r="F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N8" i="17"/>
  <c r="J8" i="17"/>
  <c r="F8" i="17"/>
  <c r="D8" i="17"/>
  <c r="C8" i="17"/>
  <c r="B8" i="17"/>
  <c r="AB8" i="17" s="1"/>
  <c r="B7" i="17"/>
  <c r="H7" i="17" s="1"/>
  <c r="Q6" i="17"/>
  <c r="M6" i="17"/>
  <c r="G6" i="17"/>
  <c r="E6" i="17"/>
  <c r="C6" i="17"/>
  <c r="B6" i="17"/>
  <c r="L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L2" i="17" s="1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U17" i="16"/>
  <c r="H17" i="16"/>
  <c r="G17" i="16"/>
  <c r="D17" i="16"/>
  <c r="B17" i="16"/>
  <c r="V17" i="16" s="1"/>
  <c r="B16" i="16"/>
  <c r="AA15" i="16"/>
  <c r="B15" i="16"/>
  <c r="Y14" i="16"/>
  <c r="G14" i="16"/>
  <c r="F14" i="16"/>
  <c r="C14" i="16"/>
  <c r="B14" i="16"/>
  <c r="AB14" i="16" s="1"/>
  <c r="X13" i="16"/>
  <c r="J13" i="16"/>
  <c r="B13" i="16"/>
  <c r="W13" i="16" s="1"/>
  <c r="X12" i="16"/>
  <c r="W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S7" i="16"/>
  <c r="R7" i="16"/>
  <c r="O7" i="16"/>
  <c r="L7" i="16"/>
  <c r="J7" i="16"/>
  <c r="H7" i="16"/>
  <c r="G7" i="16"/>
  <c r="F7" i="16"/>
  <c r="D7" i="16"/>
  <c r="B7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X2" i="16"/>
  <c r="W2" i="16"/>
  <c r="T2" i="16"/>
  <c r="Q2" i="16"/>
  <c r="P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G15" i="15"/>
  <c r="E15" i="15"/>
  <c r="B15" i="15"/>
  <c r="AB14" i="15"/>
  <c r="O14" i="15"/>
  <c r="N14" i="15"/>
  <c r="M14" i="15"/>
  <c r="D14" i="15"/>
  <c r="B14" i="15"/>
  <c r="E14" i="15" s="1"/>
  <c r="V13" i="15"/>
  <c r="T13" i="15"/>
  <c r="N13" i="15"/>
  <c r="M13" i="15"/>
  <c r="K13" i="15"/>
  <c r="J13" i="15"/>
  <c r="I13" i="15"/>
  <c r="G13" i="15"/>
  <c r="F13" i="15"/>
  <c r="D13" i="15"/>
  <c r="B13" i="15"/>
  <c r="AA12" i="15"/>
  <c r="Q12" i="15"/>
  <c r="P12" i="15"/>
  <c r="L12" i="15"/>
  <c r="K12" i="15"/>
  <c r="I12" i="15"/>
  <c r="H12" i="15"/>
  <c r="D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Z8" i="15"/>
  <c r="X8" i="15"/>
  <c r="W8" i="15"/>
  <c r="O8" i="15"/>
  <c r="N8" i="15"/>
  <c r="L8" i="15"/>
  <c r="B8" i="15"/>
  <c r="AB8" i="15" s="1"/>
  <c r="U7" i="15"/>
  <c r="R7" i="15"/>
  <c r="Q7" i="15"/>
  <c r="O7" i="15"/>
  <c r="M7" i="15"/>
  <c r="L7" i="15"/>
  <c r="K7" i="15"/>
  <c r="B7" i="15"/>
  <c r="D7" i="15" s="1"/>
  <c r="AB6" i="15"/>
  <c r="AA6" i="15"/>
  <c r="X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Z3" i="15"/>
  <c r="Y3" i="15"/>
  <c r="N3" i="15"/>
  <c r="M3" i="15"/>
  <c r="K3" i="15"/>
  <c r="J3" i="15"/>
  <c r="I3" i="15"/>
  <c r="F3" i="15"/>
  <c r="E3" i="15"/>
  <c r="D3" i="15"/>
  <c r="C3" i="15"/>
  <c r="B3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C17" i="14"/>
  <c r="B17" i="14"/>
  <c r="M17" i="14" s="1"/>
  <c r="H16" i="14"/>
  <c r="B16" i="14"/>
  <c r="V15" i="14"/>
  <c r="U15" i="14"/>
  <c r="Q15" i="14"/>
  <c r="P15" i="14"/>
  <c r="N15" i="14"/>
  <c r="M15" i="14"/>
  <c r="K15" i="14"/>
  <c r="H15" i="14"/>
  <c r="F15" i="14"/>
  <c r="E15" i="14"/>
  <c r="D15" i="14"/>
  <c r="B15" i="14"/>
  <c r="AB14" i="14"/>
  <c r="S14" i="14"/>
  <c r="R14" i="14"/>
  <c r="B14" i="14"/>
  <c r="Y14" i="14" s="1"/>
  <c r="B13" i="14"/>
  <c r="K13" i="14" s="1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D7" i="14"/>
  <c r="B7" i="14"/>
  <c r="AA6" i="14"/>
  <c r="Z6" i="14"/>
  <c r="B6" i="14"/>
  <c r="X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V3" i="14"/>
  <c r="M3" i="14"/>
  <c r="K3" i="14"/>
  <c r="J3" i="14"/>
  <c r="I3" i="14"/>
  <c r="F3" i="14"/>
  <c r="E3" i="14"/>
  <c r="D3" i="14"/>
  <c r="B3" i="14"/>
  <c r="B2" i="14"/>
  <c r="G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Z15" i="13"/>
  <c r="Y15" i="13"/>
  <c r="V15" i="13"/>
  <c r="S15" i="13"/>
  <c r="R15" i="13"/>
  <c r="P15" i="13"/>
  <c r="O15" i="13"/>
  <c r="N15" i="13"/>
  <c r="L15" i="13"/>
  <c r="K15" i="13"/>
  <c r="I15" i="13"/>
  <c r="F15" i="13"/>
  <c r="E15" i="13"/>
  <c r="B15" i="13"/>
  <c r="AA15" i="13" s="1"/>
  <c r="AA14" i="13"/>
  <c r="W14" i="13"/>
  <c r="S14" i="13"/>
  <c r="Q14" i="13"/>
  <c r="P14" i="13"/>
  <c r="O14" i="13"/>
  <c r="M14" i="13"/>
  <c r="L14" i="13"/>
  <c r="K14" i="13"/>
  <c r="J14" i="13"/>
  <c r="H14" i="13"/>
  <c r="F14" i="13"/>
  <c r="B14" i="13"/>
  <c r="T14" i="13" s="1"/>
  <c r="X13" i="13"/>
  <c r="V13" i="13"/>
  <c r="O13" i="13"/>
  <c r="N13" i="13"/>
  <c r="H13" i="13"/>
  <c r="G13" i="13"/>
  <c r="F13" i="13"/>
  <c r="B13" i="13"/>
  <c r="X12" i="13"/>
  <c r="W12" i="13"/>
  <c r="V12" i="13"/>
  <c r="B12" i="13"/>
  <c r="O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X7" i="13"/>
  <c r="W7" i="13"/>
  <c r="U7" i="13"/>
  <c r="S7" i="13"/>
  <c r="R7" i="13"/>
  <c r="N7" i="13"/>
  <c r="M7" i="13"/>
  <c r="L7" i="13"/>
  <c r="I7" i="13"/>
  <c r="H7" i="13"/>
  <c r="G7" i="13"/>
  <c r="F7" i="13"/>
  <c r="E7" i="13"/>
  <c r="C7" i="13"/>
  <c r="B7" i="13"/>
  <c r="Y7" i="13" s="1"/>
  <c r="AA6" i="13"/>
  <c r="M6" i="13"/>
  <c r="K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I3" i="13"/>
  <c r="F3" i="13"/>
  <c r="B3" i="13"/>
  <c r="D3" i="13" s="1"/>
  <c r="AB2" i="13"/>
  <c r="Y2" i="13"/>
  <c r="X2" i="13"/>
  <c r="V2" i="13"/>
  <c r="P2" i="13"/>
  <c r="O2" i="13"/>
  <c r="M2" i="13"/>
  <c r="B2" i="13"/>
  <c r="D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B17" i="12"/>
  <c r="O17" i="12" s="1"/>
  <c r="AB16" i="12"/>
  <c r="AA16" i="12"/>
  <c r="Z16" i="12"/>
  <c r="J16" i="12"/>
  <c r="C16" i="12"/>
  <c r="B16" i="12"/>
  <c r="Z15" i="12"/>
  <c r="Y15" i="12"/>
  <c r="W15" i="12"/>
  <c r="B15" i="12"/>
  <c r="K15" i="12" s="1"/>
  <c r="AB14" i="12"/>
  <c r="Y14" i="12"/>
  <c r="W14" i="12"/>
  <c r="V14" i="12"/>
  <c r="R14" i="12"/>
  <c r="Q14" i="12"/>
  <c r="L14" i="12"/>
  <c r="K14" i="12"/>
  <c r="B14" i="12"/>
  <c r="X14" i="12" s="1"/>
  <c r="B13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D8" i="12" s="1"/>
  <c r="AB7" i="12"/>
  <c r="J7" i="12"/>
  <c r="I7" i="12"/>
  <c r="B7" i="12"/>
  <c r="AA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Y3" i="12"/>
  <c r="U3" i="12"/>
  <c r="T3" i="12"/>
  <c r="P3" i="12"/>
  <c r="N3" i="12"/>
  <c r="L3" i="12"/>
  <c r="J3" i="12"/>
  <c r="I3" i="12"/>
  <c r="F3" i="12"/>
  <c r="B3" i="12"/>
  <c r="AA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O17" i="11"/>
  <c r="B17" i="11"/>
  <c r="AB16" i="11"/>
  <c r="Y16" i="11"/>
  <c r="W16" i="11"/>
  <c r="V16" i="11"/>
  <c r="D16" i="11"/>
  <c r="B16" i="11"/>
  <c r="AA16" i="11" s="1"/>
  <c r="W15" i="11"/>
  <c r="B15" i="11"/>
  <c r="R15" i="11" s="1"/>
  <c r="AB14" i="11"/>
  <c r="AA14" i="11"/>
  <c r="U14" i="11"/>
  <c r="T14" i="11"/>
  <c r="Q14" i="11"/>
  <c r="O14" i="11"/>
  <c r="M14" i="11"/>
  <c r="L14" i="11"/>
  <c r="J14" i="11"/>
  <c r="I14" i="11"/>
  <c r="H14" i="11"/>
  <c r="F14" i="11"/>
  <c r="E14" i="11"/>
  <c r="C14" i="11"/>
  <c r="B14" i="11"/>
  <c r="X14" i="11" s="1"/>
  <c r="AB13" i="11"/>
  <c r="AA13" i="11"/>
  <c r="Z13" i="11"/>
  <c r="Y13" i="11"/>
  <c r="X13" i="11"/>
  <c r="V13" i="11"/>
  <c r="U13" i="11"/>
  <c r="R13" i="11"/>
  <c r="M13" i="11"/>
  <c r="L13" i="11"/>
  <c r="K13" i="11"/>
  <c r="J13" i="11"/>
  <c r="B13" i="11"/>
  <c r="Q13" i="11" s="1"/>
  <c r="AB12" i="11"/>
  <c r="Z12" i="11"/>
  <c r="Y12" i="11"/>
  <c r="U12" i="11"/>
  <c r="T12" i="11"/>
  <c r="P12" i="11"/>
  <c r="O12" i="11"/>
  <c r="M12" i="11"/>
  <c r="K12" i="11"/>
  <c r="G12" i="11"/>
  <c r="F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Q8" i="11"/>
  <c r="P8" i="11"/>
  <c r="N8" i="11"/>
  <c r="K8" i="11"/>
  <c r="J8" i="11"/>
  <c r="I8" i="11"/>
  <c r="E8" i="11"/>
  <c r="D8" i="11"/>
  <c r="C8" i="11"/>
  <c r="B8" i="11"/>
  <c r="R8" i="11" s="1"/>
  <c r="T7" i="11"/>
  <c r="L7" i="11"/>
  <c r="J7" i="11"/>
  <c r="I7" i="11"/>
  <c r="H7" i="11"/>
  <c r="F7" i="11"/>
  <c r="E7" i="11"/>
  <c r="D7" i="11"/>
  <c r="C7" i="11"/>
  <c r="B7" i="11"/>
  <c r="B6" i="11"/>
  <c r="E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Q3" i="11"/>
  <c r="P3" i="11"/>
  <c r="L3" i="11"/>
  <c r="K3" i="11"/>
  <c r="J3" i="11"/>
  <c r="D3" i="11"/>
  <c r="C3" i="11"/>
  <c r="B3" i="11"/>
  <c r="Q2" i="11"/>
  <c r="I2" i="11"/>
  <c r="G2" i="1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C15" i="10" s="1"/>
  <c r="B14" i="10"/>
  <c r="AA13" i="10"/>
  <c r="Z13" i="10"/>
  <c r="Y13" i="10"/>
  <c r="P13" i="10"/>
  <c r="M13" i="10"/>
  <c r="H13" i="10"/>
  <c r="F13" i="10"/>
  <c r="B13" i="10"/>
  <c r="D13" i="10" s="1"/>
  <c r="AA12" i="10"/>
  <c r="G12" i="10"/>
  <c r="B12" i="10"/>
  <c r="AB12" i="10" s="1"/>
  <c r="C11" i="10"/>
  <c r="B11" i="10"/>
  <c r="B10" i="10"/>
  <c r="B9" i="10"/>
  <c r="I8" i="10"/>
  <c r="C8" i="10"/>
  <c r="B8" i="10"/>
  <c r="X7" i="10"/>
  <c r="B7" i="10"/>
  <c r="B6" i="10"/>
  <c r="O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B2" i="10"/>
  <c r="C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T17" i="9"/>
  <c r="R17" i="9"/>
  <c r="Q17" i="9"/>
  <c r="P17" i="9"/>
  <c r="M17" i="9"/>
  <c r="K17" i="9"/>
  <c r="J17" i="9"/>
  <c r="F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B15" i="9"/>
  <c r="Y14" i="9"/>
  <c r="W14" i="9"/>
  <c r="S14" i="9"/>
  <c r="R14" i="9"/>
  <c r="P14" i="9"/>
  <c r="O14" i="9"/>
  <c r="N14" i="9"/>
  <c r="L14" i="9"/>
  <c r="J14" i="9"/>
  <c r="I14" i="9"/>
  <c r="G14" i="9"/>
  <c r="F14" i="9"/>
  <c r="E14" i="9"/>
  <c r="C14" i="9"/>
  <c r="B14" i="9"/>
  <c r="AB14" i="9" s="1"/>
  <c r="AA13" i="9"/>
  <c r="Z13" i="9"/>
  <c r="Y13" i="9"/>
  <c r="X13" i="9"/>
  <c r="W13" i="9"/>
  <c r="S13" i="9"/>
  <c r="Q13" i="9"/>
  <c r="M13" i="9"/>
  <c r="D13" i="9"/>
  <c r="C13" i="9"/>
  <c r="B13" i="9"/>
  <c r="AB12" i="9"/>
  <c r="Z12" i="9"/>
  <c r="Y12" i="9"/>
  <c r="W12" i="9"/>
  <c r="U12" i="9"/>
  <c r="S12" i="9"/>
  <c r="J12" i="9"/>
  <c r="H12" i="9"/>
  <c r="E12" i="9"/>
  <c r="D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X7" i="9"/>
  <c r="W7" i="9"/>
  <c r="U7" i="9"/>
  <c r="T7" i="9"/>
  <c r="S7" i="9"/>
  <c r="Q7" i="9"/>
  <c r="P7" i="9"/>
  <c r="N7" i="9"/>
  <c r="M7" i="9"/>
  <c r="L7" i="9"/>
  <c r="J7" i="9"/>
  <c r="I7" i="9"/>
  <c r="G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B3" i="9"/>
  <c r="C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Y15" i="8"/>
  <c r="P15" i="8"/>
  <c r="K15" i="8"/>
  <c r="I15" i="8"/>
  <c r="G15" i="8"/>
  <c r="F15" i="8"/>
  <c r="E15" i="8"/>
  <c r="B15" i="8"/>
  <c r="AB14" i="8"/>
  <c r="AA14" i="8"/>
  <c r="Z14" i="8"/>
  <c r="D14" i="8"/>
  <c r="B14" i="8"/>
  <c r="AB13" i="8"/>
  <c r="AA13" i="8"/>
  <c r="X13" i="8"/>
  <c r="W13" i="8"/>
  <c r="N13" i="8"/>
  <c r="M13" i="8"/>
  <c r="H13" i="8"/>
  <c r="F13" i="8"/>
  <c r="E13" i="8"/>
  <c r="C13" i="8"/>
  <c r="B13" i="8"/>
  <c r="AB12" i="8"/>
  <c r="AA12" i="8"/>
  <c r="Y12" i="8"/>
  <c r="X12" i="8"/>
  <c r="V12" i="8"/>
  <c r="H12" i="8"/>
  <c r="B12" i="8"/>
  <c r="D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M7" i="8"/>
  <c r="B7" i="8"/>
  <c r="U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L3" i="8"/>
  <c r="K3" i="8"/>
  <c r="I3" i="8"/>
  <c r="G3" i="8"/>
  <c r="D3" i="8"/>
  <c r="C3" i="8"/>
  <c r="B3" i="8"/>
  <c r="B2" i="8"/>
  <c r="F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F17" i="7" s="1"/>
  <c r="N16" i="7"/>
  <c r="M16" i="7"/>
  <c r="L16" i="7"/>
  <c r="J16" i="7"/>
  <c r="H16" i="7"/>
  <c r="G16" i="7"/>
  <c r="B16" i="7"/>
  <c r="AA16" i="7" s="1"/>
  <c r="Z15" i="7"/>
  <c r="T15" i="7"/>
  <c r="Q15" i="7"/>
  <c r="P15" i="7"/>
  <c r="O15" i="7"/>
  <c r="L15" i="7"/>
  <c r="K15" i="7"/>
  <c r="J15" i="7"/>
  <c r="I15" i="7"/>
  <c r="H15" i="7"/>
  <c r="B15" i="7"/>
  <c r="D15" i="7" s="1"/>
  <c r="AB14" i="7"/>
  <c r="V14" i="7"/>
  <c r="T14" i="7"/>
  <c r="R14" i="7"/>
  <c r="O14" i="7"/>
  <c r="N14" i="7"/>
  <c r="M14" i="7"/>
  <c r="L14" i="7"/>
  <c r="J14" i="7"/>
  <c r="I14" i="7"/>
  <c r="H14" i="7"/>
  <c r="F14" i="7"/>
  <c r="D14" i="7"/>
  <c r="B14" i="7"/>
  <c r="AA14" i="7" s="1"/>
  <c r="B13" i="7"/>
  <c r="H13" i="7" s="1"/>
  <c r="B12" i="7"/>
  <c r="AB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Z8" i="7"/>
  <c r="Y8" i="7"/>
  <c r="W8" i="7"/>
  <c r="U8" i="7"/>
  <c r="T8" i="7"/>
  <c r="R8" i="7"/>
  <c r="Q8" i="7"/>
  <c r="P8" i="7"/>
  <c r="G8" i="7"/>
  <c r="B8" i="7"/>
  <c r="AA8" i="7" s="1"/>
  <c r="AB7" i="7"/>
  <c r="Z7" i="7"/>
  <c r="Y7" i="7"/>
  <c r="W7" i="7"/>
  <c r="U7" i="7"/>
  <c r="S7" i="7"/>
  <c r="R7" i="7"/>
  <c r="Q7" i="7"/>
  <c r="P7" i="7"/>
  <c r="F7" i="7"/>
  <c r="B7" i="7"/>
  <c r="D7" i="7" s="1"/>
  <c r="AB6" i="7"/>
  <c r="Z6" i="7"/>
  <c r="X6" i="7"/>
  <c r="W6" i="7"/>
  <c r="V6" i="7"/>
  <c r="U6" i="7"/>
  <c r="S6" i="7"/>
  <c r="R6" i="7"/>
  <c r="Q6" i="7"/>
  <c r="P6" i="7"/>
  <c r="O6" i="7"/>
  <c r="N6" i="7"/>
  <c r="I6" i="7"/>
  <c r="H6" i="7"/>
  <c r="F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T3" i="7"/>
  <c r="S3" i="7"/>
  <c r="P3" i="7"/>
  <c r="M3" i="7"/>
  <c r="L3" i="7"/>
  <c r="G3" i="7"/>
  <c r="F3" i="7"/>
  <c r="B3" i="7"/>
  <c r="Z2" i="7"/>
  <c r="S2" i="7"/>
  <c r="R2" i="7"/>
  <c r="Q2" i="7"/>
  <c r="P2" i="7"/>
  <c r="O2" i="7"/>
  <c r="N2" i="7"/>
  <c r="M2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V17" i="6"/>
  <c r="T17" i="6"/>
  <c r="S17" i="6"/>
  <c r="R17" i="6"/>
  <c r="P17" i="6"/>
  <c r="O17" i="6"/>
  <c r="M17" i="6"/>
  <c r="K17" i="6"/>
  <c r="J17" i="6"/>
  <c r="B17" i="6"/>
  <c r="AA17" i="6" s="1"/>
  <c r="E16" i="6"/>
  <c r="D16" i="6"/>
  <c r="C16" i="6"/>
  <c r="B16" i="6"/>
  <c r="Y15" i="6"/>
  <c r="W15" i="6"/>
  <c r="U15" i="6"/>
  <c r="T15" i="6"/>
  <c r="R15" i="6"/>
  <c r="Q15" i="6"/>
  <c r="B15" i="6"/>
  <c r="AA15" i="6" s="1"/>
  <c r="AB14" i="6"/>
  <c r="AA14" i="6"/>
  <c r="X14" i="6"/>
  <c r="T14" i="6"/>
  <c r="S14" i="6"/>
  <c r="R14" i="6"/>
  <c r="B14" i="6"/>
  <c r="I14" i="6" s="1"/>
  <c r="Y13" i="6"/>
  <c r="V13" i="6"/>
  <c r="R13" i="6"/>
  <c r="Q13" i="6"/>
  <c r="P13" i="6"/>
  <c r="O13" i="6"/>
  <c r="N13" i="6"/>
  <c r="B13" i="6"/>
  <c r="T13" i="6" s="1"/>
  <c r="P12" i="6"/>
  <c r="O12" i="6"/>
  <c r="K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O6" i="6"/>
  <c r="N6" i="6"/>
  <c r="M6" i="6"/>
  <c r="L6" i="6"/>
  <c r="K6" i="6"/>
  <c r="J6" i="6"/>
  <c r="I6" i="6"/>
  <c r="E6" i="6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L17" i="5" s="1"/>
  <c r="B16" i="5"/>
  <c r="AB15" i="5"/>
  <c r="AA15" i="5"/>
  <c r="Z15" i="5"/>
  <c r="W15" i="5"/>
  <c r="T15" i="5"/>
  <c r="S15" i="5"/>
  <c r="O15" i="5"/>
  <c r="N15" i="5"/>
  <c r="L15" i="5"/>
  <c r="K15" i="5"/>
  <c r="J15" i="5"/>
  <c r="I15" i="5"/>
  <c r="H15" i="5"/>
  <c r="G15" i="5"/>
  <c r="F15" i="5"/>
  <c r="E15" i="5"/>
  <c r="D15" i="5"/>
  <c r="C15" i="5"/>
  <c r="B15" i="5"/>
  <c r="X15" i="5" s="1"/>
  <c r="AB14" i="5"/>
  <c r="Z14" i="5"/>
  <c r="Y14" i="5"/>
  <c r="W14" i="5"/>
  <c r="O14" i="5"/>
  <c r="B14" i="5"/>
  <c r="D14" i="5" s="1"/>
  <c r="Z13" i="5"/>
  <c r="Y13" i="5"/>
  <c r="R13" i="5"/>
  <c r="M13" i="5"/>
  <c r="K13" i="5"/>
  <c r="J13" i="5"/>
  <c r="I13" i="5"/>
  <c r="H13" i="5"/>
  <c r="G13" i="5"/>
  <c r="F13" i="5"/>
  <c r="D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Z6" i="5"/>
  <c r="X6" i="5"/>
  <c r="W6" i="5"/>
  <c r="R6" i="5"/>
  <c r="M6" i="5"/>
  <c r="K6" i="5"/>
  <c r="J6" i="5"/>
  <c r="I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S3" i="5"/>
  <c r="N3" i="5"/>
  <c r="M3" i="5"/>
  <c r="L3" i="5"/>
  <c r="B3" i="5"/>
  <c r="W3" i="5" s="1"/>
  <c r="F2" i="5"/>
  <c r="E2" i="5"/>
  <c r="D2" i="5"/>
  <c r="C2" i="5"/>
  <c r="B2" i="5"/>
  <c r="B2" i="1"/>
  <c r="D17" i="5" l="1"/>
  <c r="X14" i="8"/>
  <c r="S14" i="8"/>
  <c r="P14" i="8"/>
  <c r="L14" i="8"/>
  <c r="V14" i="8"/>
  <c r="U14" i="8"/>
  <c r="O14" i="8"/>
  <c r="E14" i="8"/>
  <c r="T14" i="8"/>
  <c r="R14" i="8"/>
  <c r="H14" i="8"/>
  <c r="Q14" i="8"/>
  <c r="N14" i="8"/>
  <c r="F14" i="8"/>
  <c r="M14" i="8"/>
  <c r="I14" i="8"/>
  <c r="K14" i="8"/>
  <c r="J14" i="8"/>
  <c r="G14" i="8"/>
  <c r="C14" i="8"/>
  <c r="Y14" i="8"/>
  <c r="W14" i="8"/>
  <c r="J17" i="11"/>
  <c r="C17" i="11"/>
  <c r="AB17" i="11"/>
  <c r="P17" i="11"/>
  <c r="D17" i="11"/>
  <c r="X14" i="10"/>
  <c r="M14" i="10"/>
  <c r="K14" i="10"/>
  <c r="H14" i="10"/>
  <c r="AA14" i="10"/>
  <c r="D14" i="10"/>
  <c r="W14" i="10"/>
  <c r="Q14" i="10"/>
  <c r="V14" i="10"/>
  <c r="J14" i="10"/>
  <c r="U14" i="10"/>
  <c r="T14" i="10"/>
  <c r="S14" i="10"/>
  <c r="R14" i="10"/>
  <c r="G14" i="10"/>
  <c r="P14" i="10"/>
  <c r="O14" i="10"/>
  <c r="L14" i="10"/>
  <c r="F14" i="10"/>
  <c r="N14" i="10"/>
  <c r="I14" i="10"/>
  <c r="C14" i="10"/>
  <c r="Z14" i="10"/>
  <c r="Y14" i="10"/>
  <c r="E2" i="10"/>
  <c r="Q8" i="10"/>
  <c r="N8" i="10"/>
  <c r="K8" i="10"/>
  <c r="Z8" i="10"/>
  <c r="AB8" i="10"/>
  <c r="G8" i="10"/>
  <c r="G8" i="12"/>
  <c r="D17" i="7"/>
  <c r="C12" i="7"/>
  <c r="N12" i="7"/>
  <c r="J12" i="7"/>
  <c r="W12" i="7"/>
  <c r="V12" i="7"/>
  <c r="T12" i="7"/>
  <c r="P12" i="7"/>
  <c r="O12" i="7"/>
  <c r="S12" i="7"/>
  <c r="R12" i="7"/>
  <c r="M12" i="7"/>
  <c r="L12" i="7"/>
  <c r="G12" i="7"/>
  <c r="E12" i="7"/>
  <c r="K12" i="7"/>
  <c r="H12" i="7"/>
  <c r="F12" i="7"/>
  <c r="Y12" i="7"/>
  <c r="X12" i="7"/>
  <c r="C2" i="6"/>
  <c r="AA2" i="6"/>
  <c r="O17" i="5"/>
  <c r="R17" i="5"/>
  <c r="X17" i="5"/>
  <c r="P17" i="5"/>
  <c r="Y17" i="5"/>
  <c r="W17" i="5"/>
  <c r="V17" i="5"/>
  <c r="U17" i="5"/>
  <c r="S17" i="5"/>
  <c r="T17" i="5"/>
  <c r="Q17" i="5"/>
  <c r="J17" i="5"/>
  <c r="E14" i="10"/>
  <c r="W2" i="10"/>
  <c r="Z2" i="10"/>
  <c r="V2" i="10"/>
  <c r="M2" i="10"/>
  <c r="X2" i="10"/>
  <c r="F2" i="10"/>
  <c r="U2" i="10"/>
  <c r="AA2" i="10"/>
  <c r="J2" i="10"/>
  <c r="G2" i="10"/>
  <c r="Y2" i="10"/>
  <c r="P2" i="10"/>
  <c r="N2" i="10"/>
  <c r="K2" i="10"/>
  <c r="L2" i="10"/>
  <c r="H2" i="10"/>
  <c r="D2" i="10"/>
  <c r="AB14" i="10"/>
  <c r="C8" i="12"/>
  <c r="X2" i="15"/>
  <c r="AB2" i="15"/>
  <c r="C2" i="15"/>
  <c r="Z2" i="15"/>
  <c r="U2" i="15"/>
  <c r="P2" i="15"/>
  <c r="AA2" i="15"/>
  <c r="O2" i="15"/>
  <c r="Y2" i="15"/>
  <c r="V2" i="15"/>
  <c r="S2" i="15"/>
  <c r="Q2" i="15"/>
  <c r="R2" i="15"/>
  <c r="N2" i="15"/>
  <c r="J2" i="15"/>
  <c r="M2" i="15"/>
  <c r="H2" i="15"/>
  <c r="L2" i="15"/>
  <c r="K2" i="15"/>
  <c r="G2" i="15"/>
  <c r="I2" i="15"/>
  <c r="E2" i="15"/>
  <c r="D2" i="15"/>
  <c r="Z2" i="6"/>
  <c r="D7" i="5"/>
  <c r="AB7" i="5"/>
  <c r="U7" i="5"/>
  <c r="AA7" i="5"/>
  <c r="Z7" i="5"/>
  <c r="Y7" i="5"/>
  <c r="I7" i="5"/>
  <c r="X7" i="5"/>
  <c r="V7" i="5"/>
  <c r="N7" i="5"/>
  <c r="X15" i="10"/>
  <c r="I15" i="10"/>
  <c r="G15" i="10"/>
  <c r="D15" i="10"/>
  <c r="Y15" i="10"/>
  <c r="AA15" i="10"/>
  <c r="R15" i="10"/>
  <c r="Z15" i="10"/>
  <c r="W15" i="10"/>
  <c r="V15" i="10"/>
  <c r="M15" i="10"/>
  <c r="K15" i="10"/>
  <c r="U15" i="10"/>
  <c r="T15" i="10"/>
  <c r="Q15" i="10"/>
  <c r="P15" i="10"/>
  <c r="N15" i="10"/>
  <c r="H15" i="10"/>
  <c r="O15" i="10"/>
  <c r="L15" i="10"/>
  <c r="E15" i="10"/>
  <c r="AB15" i="10"/>
  <c r="O2" i="8"/>
  <c r="D2" i="8"/>
  <c r="AA2" i="8"/>
  <c r="W2" i="8"/>
  <c r="H2" i="8"/>
  <c r="V2" i="8"/>
  <c r="U2" i="8"/>
  <c r="R2" i="8"/>
  <c r="T2" i="8"/>
  <c r="K2" i="8"/>
  <c r="S2" i="8"/>
  <c r="Q2" i="8"/>
  <c r="P2" i="8"/>
  <c r="G2" i="8"/>
  <c r="N2" i="8"/>
  <c r="M2" i="8"/>
  <c r="L2" i="8"/>
  <c r="I2" i="8"/>
  <c r="C2" i="8"/>
  <c r="Z2" i="8"/>
  <c r="T2" i="6"/>
  <c r="AB17" i="7"/>
  <c r="G17" i="7"/>
  <c r="C17" i="7"/>
  <c r="T17" i="7"/>
  <c r="I17" i="7"/>
  <c r="K17" i="7"/>
  <c r="AA17" i="7"/>
  <c r="U17" i="7"/>
  <c r="Z17" i="7"/>
  <c r="V17" i="7"/>
  <c r="S17" i="7"/>
  <c r="H17" i="7"/>
  <c r="Q17" i="7"/>
  <c r="M17" i="7"/>
  <c r="L17" i="7"/>
  <c r="J17" i="7"/>
  <c r="E17" i="7"/>
  <c r="K17" i="5"/>
  <c r="F15" i="10"/>
  <c r="Z13" i="7"/>
  <c r="R13" i="7"/>
  <c r="M13" i="7"/>
  <c r="N13" i="7"/>
  <c r="AB13" i="7"/>
  <c r="AA13" i="7"/>
  <c r="X13" i="7"/>
  <c r="W13" i="7"/>
  <c r="V13" i="7"/>
  <c r="T13" i="7"/>
  <c r="S13" i="7"/>
  <c r="Q13" i="7"/>
  <c r="O13" i="7"/>
  <c r="K13" i="7"/>
  <c r="J13" i="7"/>
  <c r="F13" i="7"/>
  <c r="E13" i="7"/>
  <c r="F2" i="15"/>
  <c r="I13" i="7"/>
  <c r="AB2" i="6"/>
  <c r="Z8" i="12"/>
  <c r="X8" i="12"/>
  <c r="U8" i="12"/>
  <c r="P8" i="12"/>
  <c r="H8" i="12"/>
  <c r="W8" i="12"/>
  <c r="M8" i="12"/>
  <c r="Y8" i="12"/>
  <c r="AA8" i="12"/>
  <c r="V8" i="12"/>
  <c r="S8" i="12"/>
  <c r="I8" i="12"/>
  <c r="R8" i="12"/>
  <c r="Q8" i="12"/>
  <c r="J8" i="12"/>
  <c r="F8" i="12"/>
  <c r="Y7" i="17"/>
  <c r="W7" i="17"/>
  <c r="V7" i="17"/>
  <c r="R7" i="17"/>
  <c r="P7" i="17"/>
  <c r="J7" i="17"/>
  <c r="G7" i="17"/>
  <c r="D7" i="17"/>
  <c r="K7" i="17"/>
  <c r="T7" i="17"/>
  <c r="Z7" i="17"/>
  <c r="U7" i="17"/>
  <c r="X7" i="17"/>
  <c r="S7" i="17"/>
  <c r="O7" i="17"/>
  <c r="F7" i="17"/>
  <c r="E7" i="17"/>
  <c r="Q14" i="6"/>
  <c r="P15" i="6"/>
  <c r="Z17" i="9"/>
  <c r="G17" i="9"/>
  <c r="E17" i="9"/>
  <c r="AA17" i="9"/>
  <c r="AA6" i="10"/>
  <c r="Q7" i="11"/>
  <c r="W7" i="11"/>
  <c r="U7" i="11"/>
  <c r="R7" i="11"/>
  <c r="M7" i="11"/>
  <c r="S15" i="12"/>
  <c r="J2" i="13"/>
  <c r="W3" i="13"/>
  <c r="T12" i="13"/>
  <c r="AA2" i="14"/>
  <c r="W6" i="14"/>
  <c r="X15" i="14"/>
  <c r="L15" i="14"/>
  <c r="J15" i="14"/>
  <c r="G15" i="14"/>
  <c r="Z15" i="14"/>
  <c r="C15" i="14"/>
  <c r="P3" i="15"/>
  <c r="AA3" i="15"/>
  <c r="X3" i="15"/>
  <c r="Q3" i="15"/>
  <c r="I7" i="15"/>
  <c r="J8" i="15"/>
  <c r="X12" i="6"/>
  <c r="N12" i="6"/>
  <c r="J3" i="8"/>
  <c r="E3" i="8"/>
  <c r="T15" i="12"/>
  <c r="L2" i="13"/>
  <c r="U12" i="13"/>
  <c r="C3" i="14"/>
  <c r="AB3" i="14"/>
  <c r="X3" i="14"/>
  <c r="T3" i="14"/>
  <c r="J7" i="15"/>
  <c r="K8" i="15"/>
  <c r="P13" i="15"/>
  <c r="E13" i="15"/>
  <c r="C13" i="15"/>
  <c r="Z13" i="15"/>
  <c r="S13" i="15"/>
  <c r="Z7" i="14"/>
  <c r="O7" i="14"/>
  <c r="M7" i="14"/>
  <c r="J7" i="14"/>
  <c r="E7" i="14"/>
  <c r="AA15" i="15"/>
  <c r="U15" i="15"/>
  <c r="AB12" i="16"/>
  <c r="K12" i="16"/>
  <c r="I12" i="16"/>
  <c r="L12" i="6"/>
  <c r="Y14" i="6"/>
  <c r="V15" i="6"/>
  <c r="Q17" i="6"/>
  <c r="V7" i="7"/>
  <c r="V8" i="7"/>
  <c r="M15" i="7"/>
  <c r="H3" i="8"/>
  <c r="V13" i="8"/>
  <c r="S13" i="8"/>
  <c r="O13" i="8"/>
  <c r="Z15" i="8"/>
  <c r="U15" i="8"/>
  <c r="N15" i="8"/>
  <c r="J15" i="8"/>
  <c r="O17" i="9"/>
  <c r="G7" i="11"/>
  <c r="AB15" i="12"/>
  <c r="R2" i="13"/>
  <c r="W13" i="13"/>
  <c r="U13" i="13"/>
  <c r="S13" i="13"/>
  <c r="P13" i="13"/>
  <c r="K13" i="13"/>
  <c r="G3" i="14"/>
  <c r="C7" i="14"/>
  <c r="I15" i="14"/>
  <c r="G3" i="15"/>
  <c r="N7" i="15"/>
  <c r="R8" i="15"/>
  <c r="U12" i="15"/>
  <c r="G12" i="15"/>
  <c r="C12" i="15"/>
  <c r="Z12" i="15"/>
  <c r="T12" i="15"/>
  <c r="H13" i="15"/>
  <c r="C15" i="15"/>
  <c r="C12" i="16"/>
  <c r="H7" i="14"/>
  <c r="I15" i="15"/>
  <c r="Z6" i="16"/>
  <c r="O6" i="16"/>
  <c r="N6" i="16"/>
  <c r="K6" i="16"/>
  <c r="I6" i="16"/>
  <c r="F6" i="16"/>
  <c r="Y12" i="16"/>
  <c r="G2" i="17"/>
  <c r="Q3" i="5"/>
  <c r="X13" i="5"/>
  <c r="M15" i="5"/>
  <c r="S12" i="6"/>
  <c r="C14" i="6"/>
  <c r="C15" i="6"/>
  <c r="U17" i="6"/>
  <c r="X3" i="7"/>
  <c r="U3" i="7"/>
  <c r="AA7" i="7"/>
  <c r="S14" i="7"/>
  <c r="S15" i="7"/>
  <c r="M3" i="8"/>
  <c r="G13" i="8"/>
  <c r="H15" i="8"/>
  <c r="Q14" i="9"/>
  <c r="S17" i="9"/>
  <c r="K7" i="11"/>
  <c r="R14" i="11"/>
  <c r="F6" i="12"/>
  <c r="D15" i="12"/>
  <c r="Z2" i="13"/>
  <c r="M13" i="13"/>
  <c r="L3" i="14"/>
  <c r="I7" i="14"/>
  <c r="E12" i="14"/>
  <c r="O15" i="14"/>
  <c r="L3" i="15"/>
  <c r="S7" i="15"/>
  <c r="J12" i="15"/>
  <c r="L13" i="15"/>
  <c r="K15" i="15"/>
  <c r="E6" i="16"/>
  <c r="I2" i="17"/>
  <c r="G7" i="14"/>
  <c r="X15" i="6"/>
  <c r="S15" i="6"/>
  <c r="T12" i="6"/>
  <c r="U6" i="14"/>
  <c r="O6" i="14"/>
  <c r="M6" i="14"/>
  <c r="J6" i="14"/>
  <c r="E6" i="14"/>
  <c r="K7" i="14"/>
  <c r="T3" i="5"/>
  <c r="C8" i="6"/>
  <c r="U12" i="6"/>
  <c r="E14" i="6"/>
  <c r="E15" i="6"/>
  <c r="W17" i="6"/>
  <c r="X8" i="7"/>
  <c r="I8" i="7"/>
  <c r="E8" i="7"/>
  <c r="U15" i="7"/>
  <c r="O3" i="8"/>
  <c r="C6" i="11"/>
  <c r="N7" i="11"/>
  <c r="Y7" i="12"/>
  <c r="W7" i="12"/>
  <c r="P7" i="12"/>
  <c r="G7" i="12"/>
  <c r="G15" i="12"/>
  <c r="U3" i="5"/>
  <c r="P15" i="5"/>
  <c r="D8" i="6"/>
  <c r="V12" i="6"/>
  <c r="F14" i="6"/>
  <c r="F15" i="6"/>
  <c r="X17" i="6"/>
  <c r="H3" i="7"/>
  <c r="C7" i="7"/>
  <c r="C8" i="7"/>
  <c r="X14" i="7"/>
  <c r="V15" i="7"/>
  <c r="P3" i="8"/>
  <c r="G7" i="8"/>
  <c r="C12" i="8"/>
  <c r="J13" i="8"/>
  <c r="L15" i="8"/>
  <c r="T14" i="9"/>
  <c r="W17" i="9"/>
  <c r="O7" i="11"/>
  <c r="V14" i="11"/>
  <c r="D7" i="12"/>
  <c r="I15" i="12"/>
  <c r="C3" i="13"/>
  <c r="AB6" i="13"/>
  <c r="P6" i="13"/>
  <c r="J6" i="13"/>
  <c r="Q13" i="13"/>
  <c r="X15" i="13"/>
  <c r="W15" i="13"/>
  <c r="T15" i="13"/>
  <c r="Q15" i="13"/>
  <c r="M15" i="13"/>
  <c r="F2" i="14"/>
  <c r="P3" i="14"/>
  <c r="G6" i="14"/>
  <c r="N7" i="14"/>
  <c r="R15" i="14"/>
  <c r="T3" i="15"/>
  <c r="Y7" i="15"/>
  <c r="M12" i="15"/>
  <c r="O13" i="15"/>
  <c r="V15" i="15"/>
  <c r="J6" i="16"/>
  <c r="AB13" i="14"/>
  <c r="E13" i="14"/>
  <c r="G6" i="16"/>
  <c r="I13" i="8"/>
  <c r="T15" i="15"/>
  <c r="Q15" i="5"/>
  <c r="E8" i="6"/>
  <c r="W12" i="6"/>
  <c r="H14" i="6"/>
  <c r="G15" i="6"/>
  <c r="Z17" i="6"/>
  <c r="J3" i="7"/>
  <c r="D8" i="7"/>
  <c r="Y14" i="7"/>
  <c r="W15" i="7"/>
  <c r="Q3" i="8"/>
  <c r="J7" i="8"/>
  <c r="K13" i="8"/>
  <c r="M15" i="8"/>
  <c r="C12" i="11"/>
  <c r="X12" i="11"/>
  <c r="W14" i="11"/>
  <c r="E7" i="12"/>
  <c r="J15" i="12"/>
  <c r="G17" i="12"/>
  <c r="G6" i="13"/>
  <c r="R13" i="13"/>
  <c r="C15" i="13"/>
  <c r="S3" i="14"/>
  <c r="H6" i="14"/>
  <c r="P7" i="14"/>
  <c r="N13" i="14"/>
  <c r="S15" i="14"/>
  <c r="U3" i="15"/>
  <c r="AA7" i="15"/>
  <c r="N12" i="15"/>
  <c r="Q13" i="15"/>
  <c r="X15" i="15"/>
  <c r="L6" i="16"/>
  <c r="AA6" i="11"/>
  <c r="U6" i="11"/>
  <c r="R6" i="11"/>
  <c r="O6" i="11"/>
  <c r="I6" i="11"/>
  <c r="Q2" i="14"/>
  <c r="AB2" i="14"/>
  <c r="Y2" i="14"/>
  <c r="R2" i="14"/>
  <c r="S15" i="15"/>
  <c r="G7" i="7"/>
  <c r="L7" i="7"/>
  <c r="H7" i="7"/>
  <c r="Z12" i="8"/>
  <c r="W12" i="8"/>
  <c r="S12" i="8"/>
  <c r="U17" i="9"/>
  <c r="AA3" i="13"/>
  <c r="AB3" i="13"/>
  <c r="P3" i="13"/>
  <c r="K3" i="13"/>
  <c r="E2" i="14"/>
  <c r="N3" i="14"/>
  <c r="F6" i="14"/>
  <c r="L7" i="14"/>
  <c r="G13" i="14"/>
  <c r="V7" i="15"/>
  <c r="H6" i="16"/>
  <c r="V3" i="5"/>
  <c r="U14" i="9"/>
  <c r="X17" i="9"/>
  <c r="G6" i="11"/>
  <c r="P7" i="11"/>
  <c r="V14" i="5"/>
  <c r="R15" i="5"/>
  <c r="G8" i="6"/>
  <c r="Y12" i="6"/>
  <c r="H15" i="6"/>
  <c r="K3" i="7"/>
  <c r="E7" i="7"/>
  <c r="F8" i="7"/>
  <c r="Y15" i="7"/>
  <c r="R3" i="8"/>
  <c r="K7" i="8"/>
  <c r="E12" i="8"/>
  <c r="L13" i="8"/>
  <c r="O15" i="8"/>
  <c r="V14" i="9"/>
  <c r="U3" i="11"/>
  <c r="R3" i="11"/>
  <c r="M3" i="11"/>
  <c r="I3" i="11"/>
  <c r="H6" i="11"/>
  <c r="S7" i="11"/>
  <c r="E12" i="11"/>
  <c r="F7" i="12"/>
  <c r="E3" i="13"/>
  <c r="H6" i="13"/>
  <c r="T13" i="13"/>
  <c r="D15" i="13"/>
  <c r="L2" i="14"/>
  <c r="U3" i="14"/>
  <c r="K6" i="14"/>
  <c r="R7" i="14"/>
  <c r="Q13" i="14"/>
  <c r="T15" i="14"/>
  <c r="W3" i="15"/>
  <c r="AB7" i="15"/>
  <c r="O12" i="15"/>
  <c r="R13" i="15"/>
  <c r="Y15" i="15"/>
  <c r="M6" i="16"/>
  <c r="Z2" i="17"/>
  <c r="W2" i="17"/>
  <c r="J2" i="17"/>
  <c r="F2" i="17"/>
  <c r="U14" i="6"/>
  <c r="W14" i="6"/>
  <c r="Z15" i="6"/>
  <c r="X15" i="12"/>
  <c r="H15" i="12"/>
  <c r="F15" i="12"/>
  <c r="AA15" i="12"/>
  <c r="C15" i="12"/>
  <c r="V15" i="12"/>
  <c r="N17" i="6"/>
  <c r="L17" i="6"/>
  <c r="L15" i="12"/>
  <c r="AA8" i="15"/>
  <c r="Y8" i="15"/>
  <c r="T8" i="15"/>
  <c r="M8" i="15"/>
  <c r="AB13" i="6"/>
  <c r="S13" i="6"/>
  <c r="K14" i="6"/>
  <c r="J15" i="6"/>
  <c r="C17" i="6"/>
  <c r="H8" i="7"/>
  <c r="O2" i="14"/>
  <c r="W3" i="14"/>
  <c r="N6" i="14"/>
  <c r="V7" i="14"/>
  <c r="S13" i="14"/>
  <c r="U15" i="5"/>
  <c r="K15" i="6"/>
  <c r="N3" i="7"/>
  <c r="J7" i="7"/>
  <c r="J8" i="7"/>
  <c r="C15" i="7"/>
  <c r="AB15" i="7"/>
  <c r="W3" i="8"/>
  <c r="P7" i="8"/>
  <c r="O12" i="8"/>
  <c r="P13" i="8"/>
  <c r="AA15" i="8"/>
  <c r="Z14" i="9"/>
  <c r="H6" i="10"/>
  <c r="E3" i="11"/>
  <c r="L6" i="11"/>
  <c r="X7" i="11"/>
  <c r="I12" i="11"/>
  <c r="K7" i="12"/>
  <c r="Z12" i="12"/>
  <c r="N15" i="12"/>
  <c r="J3" i="13"/>
  <c r="O6" i="13"/>
  <c r="I12" i="13"/>
  <c r="Y13" i="13"/>
  <c r="G15" i="13"/>
  <c r="C17" i="13"/>
  <c r="P2" i="14"/>
  <c r="Y3" i="14"/>
  <c r="P6" i="14"/>
  <c r="W7" i="14"/>
  <c r="X13" i="14"/>
  <c r="W15" i="14"/>
  <c r="D8" i="15"/>
  <c r="R12" i="15"/>
  <c r="W13" i="15"/>
  <c r="T6" i="16"/>
  <c r="Y15" i="16"/>
  <c r="K15" i="16"/>
  <c r="D15" i="6"/>
  <c r="J6" i="11"/>
  <c r="S2" i="13"/>
  <c r="U2" i="13"/>
  <c r="Q2" i="13"/>
  <c r="N2" i="13"/>
  <c r="I2" i="13"/>
  <c r="C6" i="10"/>
  <c r="H12" i="12"/>
  <c r="M15" i="12"/>
  <c r="C2" i="13"/>
  <c r="H12" i="13"/>
  <c r="X7" i="15"/>
  <c r="Z7" i="15"/>
  <c r="C7" i="15"/>
  <c r="W7" i="15"/>
  <c r="T7" i="15"/>
  <c r="P7" i="15"/>
  <c r="C8" i="15"/>
  <c r="S6" i="16"/>
  <c r="J8" i="6"/>
  <c r="G13" i="6"/>
  <c r="L14" i="6"/>
  <c r="D17" i="6"/>
  <c r="AA14" i="5"/>
  <c r="V15" i="5"/>
  <c r="U8" i="6"/>
  <c r="H13" i="6"/>
  <c r="M14" i="6"/>
  <c r="L15" i="6"/>
  <c r="E17" i="6"/>
  <c r="Y2" i="7"/>
  <c r="L2" i="7"/>
  <c r="O3" i="7"/>
  <c r="K7" i="7"/>
  <c r="K8" i="7"/>
  <c r="Z3" i="8"/>
  <c r="Q7" i="8"/>
  <c r="Q12" i="8"/>
  <c r="Q13" i="8"/>
  <c r="Y7" i="9"/>
  <c r="AA7" i="9"/>
  <c r="V7" i="9"/>
  <c r="R7" i="9"/>
  <c r="L6" i="10"/>
  <c r="H3" i="11"/>
  <c r="P6" i="11"/>
  <c r="Z7" i="11"/>
  <c r="J12" i="11"/>
  <c r="S7" i="12"/>
  <c r="AA12" i="12"/>
  <c r="O15" i="12"/>
  <c r="E2" i="13"/>
  <c r="L3" i="13"/>
  <c r="Z6" i="13"/>
  <c r="L12" i="13"/>
  <c r="Z13" i="13"/>
  <c r="H15" i="13"/>
  <c r="E17" i="13"/>
  <c r="U2" i="14"/>
  <c r="Z3" i="14"/>
  <c r="Q6" i="14"/>
  <c r="X7" i="14"/>
  <c r="Y15" i="14"/>
  <c r="E7" i="15"/>
  <c r="E8" i="15"/>
  <c r="S12" i="15"/>
  <c r="AA13" i="15"/>
  <c r="V6" i="16"/>
  <c r="X15" i="16"/>
  <c r="H8" i="6"/>
  <c r="AB12" i="6"/>
  <c r="J14" i="6"/>
  <c r="I15" i="6"/>
  <c r="AB17" i="6"/>
  <c r="M2" i="14"/>
  <c r="X15" i="7"/>
  <c r="R15" i="7"/>
  <c r="N15" i="7"/>
  <c r="AA15" i="7"/>
  <c r="V3" i="8"/>
  <c r="O7" i="8"/>
  <c r="N12" i="8"/>
  <c r="K6" i="11"/>
  <c r="V7" i="11"/>
  <c r="M7" i="7"/>
  <c r="L8" i="7"/>
  <c r="E15" i="7"/>
  <c r="AA3" i="8"/>
  <c r="S7" i="8"/>
  <c r="R13" i="8"/>
  <c r="AA12" i="9"/>
  <c r="X12" i="9"/>
  <c r="O12" i="9"/>
  <c r="AA15" i="9"/>
  <c r="M15" i="9"/>
  <c r="Q6" i="11"/>
  <c r="AA7" i="11"/>
  <c r="V7" i="12"/>
  <c r="AB12" i="12"/>
  <c r="P15" i="12"/>
  <c r="F2" i="13"/>
  <c r="M3" i="13"/>
  <c r="U14" i="13"/>
  <c r="Y14" i="13"/>
  <c r="V14" i="13"/>
  <c r="R14" i="13"/>
  <c r="N14" i="13"/>
  <c r="V2" i="14"/>
  <c r="R6" i="14"/>
  <c r="Y7" i="14"/>
  <c r="AA15" i="14"/>
  <c r="F7" i="15"/>
  <c r="F8" i="15"/>
  <c r="V12" i="15"/>
  <c r="AB13" i="15"/>
  <c r="W6" i="16"/>
  <c r="R12" i="6"/>
  <c r="AB15" i="6"/>
  <c r="N3" i="8"/>
  <c r="J6" i="10"/>
  <c r="E6" i="10"/>
  <c r="AB12" i="13"/>
  <c r="M12" i="13"/>
  <c r="J12" i="13"/>
  <c r="D12" i="13"/>
  <c r="I8" i="6"/>
  <c r="I7" i="7"/>
  <c r="I13" i="6"/>
  <c r="N14" i="6"/>
  <c r="M15" i="6"/>
  <c r="F17" i="6"/>
  <c r="R12" i="8"/>
  <c r="E6" i="5"/>
  <c r="Y15" i="5"/>
  <c r="K13" i="6"/>
  <c r="O14" i="6"/>
  <c r="N15" i="6"/>
  <c r="G17" i="6"/>
  <c r="N7" i="7"/>
  <c r="M8" i="7"/>
  <c r="Z14" i="7"/>
  <c r="U14" i="7"/>
  <c r="Q14" i="7"/>
  <c r="F15" i="7"/>
  <c r="AB3" i="8"/>
  <c r="T7" i="8"/>
  <c r="T12" i="8"/>
  <c r="T13" i="8"/>
  <c r="C12" i="9"/>
  <c r="X14" i="9"/>
  <c r="M14" i="9"/>
  <c r="K14" i="9"/>
  <c r="H14" i="9"/>
  <c r="AA14" i="9"/>
  <c r="D14" i="9"/>
  <c r="K15" i="9"/>
  <c r="R6" i="10"/>
  <c r="T6" i="11"/>
  <c r="AB7" i="11"/>
  <c r="L12" i="11"/>
  <c r="S14" i="11"/>
  <c r="P14" i="11"/>
  <c r="N14" i="11"/>
  <c r="K14" i="11"/>
  <c r="G14" i="11"/>
  <c r="M3" i="12"/>
  <c r="K3" i="12"/>
  <c r="G3" i="12"/>
  <c r="X7" i="12"/>
  <c r="Q15" i="12"/>
  <c r="G2" i="13"/>
  <c r="N3" i="13"/>
  <c r="R12" i="13"/>
  <c r="E14" i="13"/>
  <c r="J15" i="13"/>
  <c r="X2" i="14"/>
  <c r="S6" i="14"/>
  <c r="AB7" i="14"/>
  <c r="AB15" i="14"/>
  <c r="G7" i="15"/>
  <c r="G8" i="15"/>
  <c r="W12" i="15"/>
  <c r="Z7" i="16"/>
  <c r="C7" i="16"/>
  <c r="U7" i="16"/>
  <c r="T7" i="16"/>
  <c r="P7" i="16"/>
  <c r="M7" i="16"/>
  <c r="I7" i="16"/>
  <c r="E7" i="16"/>
  <c r="M15" i="17"/>
  <c r="H15" i="17"/>
  <c r="Z17" i="17"/>
  <c r="Y17" i="17"/>
  <c r="W17" i="17"/>
  <c r="U17" i="17"/>
  <c r="Q17" i="17"/>
  <c r="L17" i="17"/>
  <c r="G13" i="18"/>
  <c r="D14" i="6"/>
  <c r="E15" i="12"/>
  <c r="S3" i="8"/>
  <c r="L6" i="14"/>
  <c r="S7" i="14"/>
  <c r="R13" i="14"/>
  <c r="Q6" i="16"/>
  <c r="M13" i="6"/>
  <c r="P14" i="6"/>
  <c r="O15" i="6"/>
  <c r="H17" i="6"/>
  <c r="O7" i="7"/>
  <c r="N8" i="7"/>
  <c r="G15" i="7"/>
  <c r="W7" i="8"/>
  <c r="U12" i="8"/>
  <c r="U13" i="8"/>
  <c r="Y6" i="10"/>
  <c r="X6" i="11"/>
  <c r="AB8" i="11"/>
  <c r="S8" i="11"/>
  <c r="O8" i="11"/>
  <c r="Z7" i="12"/>
  <c r="R15" i="12"/>
  <c r="H2" i="13"/>
  <c r="V3" i="13"/>
  <c r="S12" i="13"/>
  <c r="Z2" i="14"/>
  <c r="T6" i="14"/>
  <c r="H7" i="15"/>
  <c r="H8" i="15"/>
  <c r="X12" i="15"/>
  <c r="Z3" i="18"/>
  <c r="I3" i="18"/>
  <c r="E3" i="18"/>
  <c r="D3" i="18"/>
  <c r="Y3" i="18"/>
  <c r="V3" i="18"/>
  <c r="Q3" i="18"/>
  <c r="K3" i="18"/>
  <c r="J3" i="18"/>
  <c r="AB6" i="18"/>
  <c r="AA6" i="18"/>
  <c r="W6" i="18"/>
  <c r="Q6" i="18"/>
  <c r="O6" i="18"/>
  <c r="I6" i="18"/>
  <c r="AB8" i="18"/>
  <c r="Y12" i="18"/>
  <c r="E15" i="18"/>
  <c r="W17" i="18"/>
  <c r="H2" i="19"/>
  <c r="K3" i="19"/>
  <c r="N6" i="19"/>
  <c r="M8" i="19"/>
  <c r="C12" i="19"/>
  <c r="K13" i="19"/>
  <c r="T14" i="19"/>
  <c r="R8" i="9"/>
  <c r="K2" i="16"/>
  <c r="Z17" i="16"/>
  <c r="Q12" i="17"/>
  <c r="F2" i="18"/>
  <c r="C8" i="18"/>
  <c r="Z12" i="18"/>
  <c r="J15" i="18"/>
  <c r="Y17" i="18"/>
  <c r="M2" i="19"/>
  <c r="M3" i="19"/>
  <c r="O6" i="19"/>
  <c r="N8" i="19"/>
  <c r="E12" i="19"/>
  <c r="L13" i="19"/>
  <c r="U14" i="19"/>
  <c r="P13" i="19"/>
  <c r="K6" i="7"/>
  <c r="X8" i="9"/>
  <c r="W6" i="15"/>
  <c r="U2" i="16"/>
  <c r="J14" i="16"/>
  <c r="H8" i="17"/>
  <c r="U12" i="17"/>
  <c r="L2" i="18"/>
  <c r="G8" i="18"/>
  <c r="S15" i="18"/>
  <c r="C17" i="18"/>
  <c r="R2" i="19"/>
  <c r="R3" i="19"/>
  <c r="C7" i="19"/>
  <c r="R8" i="19"/>
  <c r="I12" i="19"/>
  <c r="Q13" i="19"/>
  <c r="C15" i="19"/>
  <c r="Y2" i="16"/>
  <c r="O8" i="17"/>
  <c r="Y12" i="17"/>
  <c r="O2" i="18"/>
  <c r="M8" i="18"/>
  <c r="Y15" i="18"/>
  <c r="G17" i="18"/>
  <c r="V2" i="19"/>
  <c r="U3" i="19"/>
  <c r="H7" i="19"/>
  <c r="V8" i="19"/>
  <c r="P12" i="19"/>
  <c r="W13" i="19"/>
  <c r="G15" i="19"/>
  <c r="Z12" i="10"/>
  <c r="D7" i="13"/>
  <c r="Q8" i="17"/>
  <c r="AB12" i="17"/>
  <c r="R2" i="18"/>
  <c r="O8" i="18"/>
  <c r="L14" i="18"/>
  <c r="AA15" i="18"/>
  <c r="J17" i="18"/>
  <c r="X2" i="19"/>
  <c r="W3" i="19"/>
  <c r="M7" i="19"/>
  <c r="Y8" i="19"/>
  <c r="R12" i="19"/>
  <c r="Z13" i="19"/>
  <c r="L15" i="19"/>
  <c r="C17" i="19"/>
  <c r="S2" i="18"/>
  <c r="P8" i="18"/>
  <c r="Q14" i="18"/>
  <c r="AB15" i="18"/>
  <c r="L17" i="18"/>
  <c r="Z2" i="19"/>
  <c r="Y3" i="19"/>
  <c r="R7" i="19"/>
  <c r="Z8" i="19"/>
  <c r="T12" i="19"/>
  <c r="AA13" i="19"/>
  <c r="M15" i="19"/>
  <c r="E17" i="19"/>
  <c r="O15" i="19"/>
  <c r="F17" i="19"/>
  <c r="D12" i="17"/>
  <c r="V2" i="18"/>
  <c r="R8" i="18"/>
  <c r="N17" i="18"/>
  <c r="AA3" i="19"/>
  <c r="AB8" i="19"/>
  <c r="V12" i="19"/>
  <c r="F14" i="19"/>
  <c r="P15" i="19"/>
  <c r="G17" i="19"/>
  <c r="C17" i="16"/>
  <c r="U8" i="17"/>
  <c r="E12" i="17"/>
  <c r="N13" i="17"/>
  <c r="X2" i="18"/>
  <c r="S8" i="18"/>
  <c r="V14" i="18"/>
  <c r="O17" i="18"/>
  <c r="C3" i="19"/>
  <c r="AB3" i="19"/>
  <c r="C8" i="19"/>
  <c r="Y12" i="19"/>
  <c r="G14" i="19"/>
  <c r="Q15" i="19"/>
  <c r="M17" i="19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J17" i="16"/>
  <c r="AA8" i="17"/>
  <c r="I12" i="17"/>
  <c r="G7" i="18"/>
  <c r="W8" i="18"/>
  <c r="S17" i="18"/>
  <c r="G3" i="19"/>
  <c r="E6" i="19"/>
  <c r="G8" i="19"/>
  <c r="C13" i="19"/>
  <c r="L14" i="19"/>
  <c r="AB15" i="19"/>
  <c r="V17" i="19"/>
  <c r="D13" i="16"/>
  <c r="R17" i="16"/>
  <c r="J12" i="17"/>
  <c r="H7" i="18"/>
  <c r="X8" i="18"/>
  <c r="T17" i="18"/>
  <c r="H3" i="19"/>
  <c r="G6" i="19"/>
  <c r="H8" i="19"/>
  <c r="D13" i="19"/>
  <c r="O14" i="19"/>
  <c r="Y17" i="19"/>
  <c r="C15" i="18"/>
  <c r="U17" i="18"/>
  <c r="C2" i="19"/>
  <c r="I3" i="19"/>
  <c r="H6" i="19"/>
  <c r="J8" i="19"/>
  <c r="E13" i="19"/>
  <c r="Q14" i="19"/>
  <c r="AA17" i="19"/>
  <c r="O12" i="17"/>
  <c r="V17" i="18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<sst xmlns="http://schemas.openxmlformats.org/spreadsheetml/2006/main" count="3113" uniqueCount="587">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</sst>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120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NH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1.2026380209031854E-2</v>
      </c>
      <c r="C2" s="7">
        <f>$B2 * IFERROR(VLOOKUP("transport|PM25|Premature mortality", US_national_yearly!$D:$AM, 11, FALSE) / VLOOKUP("transport|PM25|Premature mortality", US_national_yearly!$D:$AM, 10, FALSE), 1)</f>
        <v>1.217548096797838E-2</v>
      </c>
      <c r="D2" s="7">
        <f>$B2 * IFERROR(VLOOKUP("transport|PM25|Premature mortality", US_national_yearly!$D:$AM, 12, FALSE) / VLOOKUP("transport|PM25|Premature mortality", US_national_yearly!$D:$AM, 10, FALSE), 1)</f>
        <v>1.2324581726924902E-2</v>
      </c>
      <c r="E2" s="7">
        <f>$B2 * IFERROR(VLOOKUP("transport|PM25|Premature mortality", US_national_yearly!$D:$AM, 13, FALSE) / VLOOKUP("transport|PM25|Premature mortality", US_national_yearly!$D:$AM, 10, FALSE), 1)</f>
        <v>1.2473682485871425E-2</v>
      </c>
      <c r="F2" s="7">
        <f>$B2 * IFERROR(VLOOKUP("transport|PM25|Premature mortality", US_national_yearly!$D:$AM, 14, FALSE) / VLOOKUP("transport|PM25|Premature mortality", US_national_yearly!$D:$AM, 10, FALSE), 1)</f>
        <v>1.2622783244817947E-2</v>
      </c>
      <c r="G2" s="7">
        <f>$B2 * IFERROR(VLOOKUP("transport|PM25|Premature mortality", US_national_yearly!$D:$AM, 15, FALSE) / VLOOKUP("transport|PM25|Premature mortality", US_national_yearly!$D:$AM, 10, FALSE), 1)</f>
        <v>1.2913155848374998E-2</v>
      </c>
      <c r="H2" s="7">
        <f>$B2 * IFERROR(VLOOKUP("transport|PM25|Premature mortality", US_national_yearly!$D:$AM, 16, FALSE) / VLOOKUP("transport|PM25|Premature mortality", US_national_yearly!$D:$AM, 10, FALSE), 1)</f>
        <v>1.3203528451932048E-2</v>
      </c>
      <c r="I2" s="7">
        <f>$B2 * IFERROR(VLOOKUP("transport|PM25|Premature mortality", US_national_yearly!$D:$AM, 17, FALSE) / VLOOKUP("transport|PM25|Premature mortality", US_national_yearly!$D:$AM, 10, FALSE), 1)</f>
        <v>1.339425740122239E-2</v>
      </c>
      <c r="J2" s="7">
        <f>$B2 * IFERROR(VLOOKUP("transport|PM25|Premature mortality", US_national_yearly!$D:$AM, 18, FALSE) / VLOOKUP("transport|PM25|Premature mortality", US_national_yearly!$D:$AM, 10, FALSE), 1)</f>
        <v>1.3584986350512737E-2</v>
      </c>
      <c r="K2" s="7">
        <f>$B2 * IFERROR(VLOOKUP("transport|PM25|Premature mortality", US_national_yearly!$D:$AM, 19, FALSE) / VLOOKUP("transport|PM25|Premature mortality", US_national_yearly!$D:$AM, 10, FALSE), 1)</f>
        <v>1.3775715299803083E-2</v>
      </c>
      <c r="L2" s="7">
        <f>$B2 * IFERROR(VLOOKUP("transport|PM25|Premature mortality", US_national_yearly!$D:$AM, 20, FALSE) / VLOOKUP("transport|PM25|Premature mortality", US_national_yearly!$D:$AM, 10, FALSE), 1)</f>
        <v>1.396644424909343E-2</v>
      </c>
      <c r="M2" s="7">
        <f>$B2 * IFERROR(VLOOKUP("transport|PM25|Premature mortality", US_national_yearly!$D:$AM, 21, FALSE) / VLOOKUP("transport|PM25|Premature mortality", US_national_yearly!$D:$AM, 10, FALSE), 1)</f>
        <v>1.4157173198383775E-2</v>
      </c>
      <c r="N2" s="7">
        <f>$B2 * IFERROR(VLOOKUP("transport|PM25|Premature mortality", US_national_yearly!$D:$AM, 22, FALSE) / VLOOKUP("transport|PM25|Premature mortality", US_national_yearly!$D:$AM, 10, FALSE), 1)</f>
        <v>1.4305262088746964E-2</v>
      </c>
      <c r="O2" s="7">
        <f>$B2 * IFERROR(VLOOKUP("transport|PM25|Premature mortality", US_national_yearly!$D:$AM, 23, FALSE) / VLOOKUP("transport|PM25|Premature mortality", US_national_yearly!$D:$AM, 10, FALSE), 1)</f>
        <v>1.4453350979110151E-2</v>
      </c>
      <c r="P2" s="7">
        <f>$B2 * IFERROR(VLOOKUP("transport|PM25|Premature mortality", US_national_yearly!$D:$AM, 24, FALSE) / VLOOKUP("transport|PM25|Premature mortality", US_national_yearly!$D:$AM, 10, FALSE), 1)</f>
        <v>1.460143986947334E-2</v>
      </c>
      <c r="Q2" s="7">
        <f>$B2 * IFERROR(VLOOKUP("transport|PM25|Premature mortality", US_national_yearly!$D:$AM, 25, FALSE) / VLOOKUP("transport|PM25|Premature mortality", US_national_yearly!$D:$AM, 10, FALSE), 1)</f>
        <v>1.4749528759836528E-2</v>
      </c>
      <c r="R2" s="7">
        <f>$B2 * IFERROR(VLOOKUP("transport|PM25|Premature mortality", US_national_yearly!$D:$AM, 26, FALSE) / VLOOKUP("transport|PM25|Premature mortality", US_national_yearly!$D:$AM, 10, FALSE), 1)</f>
        <v>1.4897617650199719E-2</v>
      </c>
      <c r="S2" s="7">
        <f>$B2 * IFERROR(VLOOKUP("transport|PM25|Premature mortality", US_national_yearly!$D:$AM, 27, FALSE) / VLOOKUP("transport|PM25|Premature mortality", US_national_yearly!$D:$AM, 10, FALSE), 1)</f>
        <v>1.4976070744446552E-2</v>
      </c>
      <c r="T2" s="7">
        <f>$B2 * IFERROR(VLOOKUP("transport|PM25|Premature mortality", US_national_yearly!$D:$AM, 28, FALSE) / VLOOKUP("transport|PM25|Premature mortality", US_national_yearly!$D:$AM, 10, FALSE), 1)</f>
        <v>1.5054523838693384E-2</v>
      </c>
      <c r="U2" s="7">
        <f>$B2 * IFERROR(VLOOKUP("transport|PM25|Premature mortality", US_national_yearly!$D:$AM, 29, FALSE) / VLOOKUP("transport|PM25|Premature mortality", US_national_yearly!$D:$AM, 10, FALSE), 1)</f>
        <v>1.5132976932940216E-2</v>
      </c>
      <c r="V2" s="7">
        <f>$B2 * IFERROR(VLOOKUP("transport|PM25|Premature mortality", US_national_yearly!$D:$AM, 30, FALSE) / VLOOKUP("transport|PM25|Premature mortality", US_national_yearly!$D:$AM, 10, FALSE), 1)</f>
        <v>1.5211430027187047E-2</v>
      </c>
      <c r="W2" s="7">
        <f>$B2 * IFERROR(VLOOKUP("transport|PM25|Premature mortality", US_national_yearly!$D:$AM, 31, FALSE) / VLOOKUP("transport|PM25|Premature mortality", US_national_yearly!$D:$AM, 10, FALSE), 1)</f>
        <v>1.5289883121433879E-2</v>
      </c>
      <c r="X2" s="7">
        <f>$B2 * IFERROR(VLOOKUP("transport|PM25|Premature mortality", US_national_yearly!$D:$AM, 32, FALSE) / VLOOKUP("transport|PM25|Premature mortality", US_national_yearly!$D:$AM, 10, FALSE), 1)</f>
        <v>1.5303601251839662E-2</v>
      </c>
      <c r="Y2" s="7">
        <f>$B2 * IFERROR(VLOOKUP("transport|PM25|Premature mortality", US_national_yearly!$D:$AM, 33, FALSE) / VLOOKUP("transport|PM25|Premature mortality", US_national_yearly!$D:$AM, 10, FALSE), 1)</f>
        <v>1.5317319382245448E-2</v>
      </c>
      <c r="Z2" s="7">
        <f>$B2 * IFERROR(VLOOKUP("transport|PM25|Premature mortality", US_national_yearly!$D:$AM, 34, FALSE) / VLOOKUP("transport|PM25|Premature mortality", US_national_yearly!$D:$AM, 10, FALSE), 1)</f>
        <v>1.5331037512651233E-2</v>
      </c>
      <c r="AA2" s="7">
        <f>$B2 * IFERROR(VLOOKUP("transport|PM25|Premature mortality", US_national_yearly!$D:$AM, 35, FALSE) / VLOOKUP("transport|PM25|Premature mortality", US_national_yearly!$D:$AM, 10, FALSE), 1)</f>
        <v>1.5344755643057019E-2</v>
      </c>
      <c r="AB2" s="7">
        <f>$B2 * IFERROR(VLOOKUP("transport|PM25|Premature mortality", US_national_yearly!$D:$AM, 36, FALSE) / VLOOKUP("transport|PM25|Premature mortality", US_national_yearly!$D:$AM, 10, FALSE), 1)</f>
        <v>1.5358473773462802E-2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1.604085360704713E-5</v>
      </c>
      <c r="C3" s="7">
        <f>$B3 * IFERROR(VLOOKUP("transport|PM25|Infant mortality", US_national_yearly!$D:$AM, 11, FALSE) / VLOOKUP("transport|PM25|Infant mortality", US_national_yearly!$D:$AM, 10, FALSE), 1)</f>
        <v>1.5900992000976928E-5</v>
      </c>
      <c r="D3" s="7">
        <f>$B3 * IFERROR(VLOOKUP("transport|PM25|Infant mortality", US_national_yearly!$D:$AM, 12, FALSE) / VLOOKUP("transport|PM25|Infant mortality", US_national_yearly!$D:$AM, 10, FALSE), 1)</f>
        <v>1.5761130394906726E-5</v>
      </c>
      <c r="E3" s="7">
        <f>$B3 * IFERROR(VLOOKUP("transport|PM25|Infant mortality", US_national_yearly!$D:$AM, 13, FALSE) / VLOOKUP("transport|PM25|Infant mortality", US_national_yearly!$D:$AM, 10, FALSE), 1)</f>
        <v>1.5621268788836524E-5</v>
      </c>
      <c r="F3" s="7">
        <f>$B3 * IFERROR(VLOOKUP("transport|PM25|Infant mortality", US_national_yearly!$D:$AM, 14, FALSE) / VLOOKUP("transport|PM25|Infant mortality", US_national_yearly!$D:$AM, 10, FALSE), 1)</f>
        <v>1.5481407182766318E-5</v>
      </c>
      <c r="G3" s="7">
        <f>$B3 * IFERROR(VLOOKUP("transport|PM25|Infant mortality", US_national_yearly!$D:$AM, 15, FALSE) / VLOOKUP("transport|PM25|Infant mortality", US_national_yearly!$D:$AM, 10, FALSE), 1)</f>
        <v>1.0295963907292739E-5</v>
      </c>
      <c r="H3" s="7">
        <f>$B3 * IFERROR(VLOOKUP("transport|PM25|Infant mortality", US_national_yearly!$D:$AM, 16, FALSE) / VLOOKUP("transport|PM25|Infant mortality", US_national_yearly!$D:$AM, 10, FALSE), 1)</f>
        <v>5.1105206318191575E-6</v>
      </c>
      <c r="I3" s="7">
        <f>$B3 * IFERROR(VLOOKUP("transport|PM25|Infant mortality", US_national_yearly!$D:$AM, 17, FALSE) / VLOOKUP("transport|PM25|Infant mortality", US_national_yearly!$D:$AM, 10, FALSE), 1)</f>
        <v>5.077114937662979E-6</v>
      </c>
      <c r="J3" s="7">
        <f>$B3 * IFERROR(VLOOKUP("transport|PM25|Infant mortality", US_national_yearly!$D:$AM, 18, FALSE) / VLOOKUP("transport|PM25|Infant mortality", US_national_yearly!$D:$AM, 10, FALSE), 1)</f>
        <v>5.0437092435067987E-6</v>
      </c>
      <c r="K3" s="7">
        <f>$B3 * IFERROR(VLOOKUP("transport|PM25|Infant mortality", US_national_yearly!$D:$AM, 19, FALSE) / VLOOKUP("transport|PM25|Infant mortality", US_national_yearly!$D:$AM, 10, FALSE), 1)</f>
        <v>5.0103035493506185E-6</v>
      </c>
      <c r="L3" s="7">
        <f>$B3 * IFERROR(VLOOKUP("transport|PM25|Infant mortality", US_national_yearly!$D:$AM, 20, FALSE) / VLOOKUP("transport|PM25|Infant mortality", US_national_yearly!$D:$AM, 10, FALSE), 1)</f>
        <v>4.9768978551944399E-6</v>
      </c>
      <c r="M3" s="7">
        <f>$B3 * IFERROR(VLOOKUP("transport|PM25|Infant mortality", US_national_yearly!$D:$AM, 21, FALSE) / VLOOKUP("transport|PM25|Infant mortality", US_national_yearly!$D:$AM, 10, FALSE), 1)</f>
        <v>4.9434921610382605E-6</v>
      </c>
      <c r="N3" s="7">
        <f>$B3 * IFERROR(VLOOKUP("transport|PM25|Infant mortality", US_national_yearly!$D:$AM, 22, FALSE) / VLOOKUP("transport|PM25|Infant mortality", US_national_yearly!$D:$AM, 10, FALSE), 1)</f>
        <v>4.9225096867366371E-6</v>
      </c>
      <c r="O3" s="7">
        <f>$B3 * IFERROR(VLOOKUP("transport|PM25|Infant mortality", US_national_yearly!$D:$AM, 23, FALSE) / VLOOKUP("transport|PM25|Infant mortality", US_national_yearly!$D:$AM, 10, FALSE), 1)</f>
        <v>4.9015272124350146E-6</v>
      </c>
      <c r="P3" s="7">
        <f>$B3 * IFERROR(VLOOKUP("transport|PM25|Infant mortality", US_national_yearly!$D:$AM, 24, FALSE) / VLOOKUP("transport|PM25|Infant mortality", US_national_yearly!$D:$AM, 10, FALSE), 1)</f>
        <v>4.8805447381333895E-6</v>
      </c>
      <c r="Q3" s="7">
        <f>$B3 * IFERROR(VLOOKUP("transport|PM25|Infant mortality", US_national_yearly!$D:$AM, 25, FALSE) / VLOOKUP("transport|PM25|Infant mortality", US_national_yearly!$D:$AM, 10, FALSE), 1)</f>
        <v>4.8595622638317669E-6</v>
      </c>
      <c r="R3" s="7">
        <f>$B3 * IFERROR(VLOOKUP("transport|PM25|Infant mortality", US_national_yearly!$D:$AM, 26, FALSE) / VLOOKUP("transport|PM25|Infant mortality", US_national_yearly!$D:$AM, 10, FALSE), 1)</f>
        <v>4.8385797895301435E-6</v>
      </c>
      <c r="S3" s="7">
        <f>$B3 * IFERROR(VLOOKUP("transport|PM25|Infant mortality", US_national_yearly!$D:$AM, 27, FALSE) / VLOOKUP("transport|PM25|Infant mortality", US_national_yearly!$D:$AM, 10, FALSE), 1)</f>
        <v>4.8124247062929399E-6</v>
      </c>
      <c r="T3" s="7">
        <f>$B3 * IFERROR(VLOOKUP("transport|PM25|Infant mortality", US_national_yearly!$D:$AM, 28, FALSE) / VLOOKUP("transport|PM25|Infant mortality", US_national_yearly!$D:$AM, 10, FALSE), 1)</f>
        <v>4.7862696230557355E-6</v>
      </c>
      <c r="U3" s="7">
        <f>$B3 * IFERROR(VLOOKUP("transport|PM25|Infant mortality", US_national_yearly!$D:$AM, 29, FALSE) / VLOOKUP("transport|PM25|Infant mortality", US_national_yearly!$D:$AM, 10, FALSE), 1)</f>
        <v>4.760114539818531E-6</v>
      </c>
      <c r="V3" s="7">
        <f>$B3 * IFERROR(VLOOKUP("transport|PM25|Infant mortality", US_national_yearly!$D:$AM, 30, FALSE) / VLOOKUP("transport|PM25|Infant mortality", US_national_yearly!$D:$AM, 10, FALSE), 1)</f>
        <v>4.7339594565813274E-6</v>
      </c>
      <c r="W3" s="7">
        <f>$B3 * IFERROR(VLOOKUP("transport|PM25|Infant mortality", US_national_yearly!$D:$AM, 31, FALSE) / VLOOKUP("transport|PM25|Infant mortality", US_national_yearly!$D:$AM, 10, FALSE), 1)</f>
        <v>4.7078043733441229E-6</v>
      </c>
      <c r="X3" s="7">
        <f>$B3 * IFERROR(VLOOKUP("transport|PM25|Infant mortality", US_national_yearly!$D:$AM, 32, FALSE) / VLOOKUP("transport|PM25|Infant mortality", US_national_yearly!$D:$AM, 10, FALSE), 1)</f>
        <v>4.6796059062653365E-6</v>
      </c>
      <c r="Y3" s="7">
        <f>$B3 * IFERROR(VLOOKUP("transport|PM25|Infant mortality", US_national_yearly!$D:$AM, 33, FALSE) / VLOOKUP("transport|PM25|Infant mortality", US_national_yearly!$D:$AM, 10, FALSE), 1)</f>
        <v>4.6514074391865485E-6</v>
      </c>
      <c r="Z3" s="7">
        <f>$B3 * IFERROR(VLOOKUP("transport|PM25|Infant mortality", US_national_yearly!$D:$AM, 34, FALSE) / VLOOKUP("transport|PM25|Infant mortality", US_national_yearly!$D:$AM, 10, FALSE), 1)</f>
        <v>4.6232089721077629E-6</v>
      </c>
      <c r="AA3" s="7">
        <f>$B3 * IFERROR(VLOOKUP("transport|PM25|Infant mortality", US_national_yearly!$D:$AM, 35, FALSE) / VLOOKUP("transport|PM25|Infant mortality", US_national_yearly!$D:$AM, 10, FALSE), 1)</f>
        <v>4.5950105050289757E-6</v>
      </c>
      <c r="AB3" s="7">
        <f>$B3 * IFERROR(VLOOKUP("transport|PM25|Infant mortality", US_national_yearly!$D:$AM, 36, FALSE) / VLOOKUP("transport|PM25|Infant mortality", US_national_yearly!$D:$AM, 10, FALSE), 1)</f>
        <v>4.5668120379501893E-6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2.384341637536368E-2</v>
      </c>
      <c r="C6" s="7">
        <f>$B6 * IFERROR(VLOOKUP("transport|PM25|Asthma symptoms cough", US_national_yearly!$D:$AM, 11, FALSE) / VLOOKUP("transport|PM25|Asthma symptoms cough", US_national_yearly!$D:$AM, 10, FALSE), 1)</f>
        <v>2.384341637536368E-2</v>
      </c>
      <c r="D6" s="7">
        <f>$B6 * IFERROR(VLOOKUP("transport|PM25|Asthma symptoms cough", US_national_yearly!$D:$AM, 12, FALSE) / VLOOKUP("transport|PM25|Asthma symptoms cough", US_national_yearly!$D:$AM, 10, FALSE), 1)</f>
        <v>2.384341637536368E-2</v>
      </c>
      <c r="E6" s="7">
        <f>$B6 * IFERROR(VLOOKUP("transport|PM25|Asthma symptoms cough", US_national_yearly!$D:$AM, 13, FALSE) / VLOOKUP("transport|PM25|Asthma symptoms cough", US_national_yearly!$D:$AM, 10, FALSE), 1)</f>
        <v>2.384341637536368E-2</v>
      </c>
      <c r="F6" s="7">
        <f>$B6 * IFERROR(VLOOKUP("transport|PM25|Asthma symptoms cough", US_national_yearly!$D:$AM, 14, FALSE) / VLOOKUP("transport|PM25|Asthma symptoms cough", US_national_yearly!$D:$AM, 10, FALSE), 1)</f>
        <v>2.384341637536368E-2</v>
      </c>
      <c r="G6" s="7">
        <f>$B6 * IFERROR(VLOOKUP("transport|PM25|Asthma symptoms cough", US_national_yearly!$D:$AM, 15, FALSE) / VLOOKUP("transport|PM25|Asthma symptoms cough", US_national_yearly!$D:$AM, 10, FALSE), 1)</f>
        <v>2.384341637536368E-2</v>
      </c>
      <c r="H6" s="7">
        <f>$B6 * IFERROR(VLOOKUP("transport|PM25|Asthma symptoms cough", US_national_yearly!$D:$AM, 16, FALSE) / VLOOKUP("transport|PM25|Asthma symptoms cough", US_national_yearly!$D:$AM, 10, FALSE), 1)</f>
        <v>2.384341637536368E-2</v>
      </c>
      <c r="I6" s="7">
        <f>$B6 * IFERROR(VLOOKUP("transport|PM25|Asthma symptoms cough", US_national_yearly!$D:$AM, 17, FALSE) / VLOOKUP("transport|PM25|Asthma symptoms cough", US_national_yearly!$D:$AM, 10, FALSE), 1)</f>
        <v>2.384341637536368E-2</v>
      </c>
      <c r="J6" s="7">
        <f>$B6 * IFERROR(VLOOKUP("transport|PM25|Asthma symptoms cough", US_national_yearly!$D:$AM, 18, FALSE) / VLOOKUP("transport|PM25|Asthma symptoms cough", US_national_yearly!$D:$AM, 10, FALSE), 1)</f>
        <v>2.384341637536368E-2</v>
      </c>
      <c r="K6" s="7">
        <f>$B6 * IFERROR(VLOOKUP("transport|PM25|Asthma symptoms cough", US_national_yearly!$D:$AM, 19, FALSE) / VLOOKUP("transport|PM25|Asthma symptoms cough", US_national_yearly!$D:$AM, 10, FALSE), 1)</f>
        <v>2.384341637536368E-2</v>
      </c>
      <c r="L6" s="7">
        <f>$B6 * IFERROR(VLOOKUP("transport|PM25|Asthma symptoms cough", US_national_yearly!$D:$AM, 20, FALSE) / VLOOKUP("transport|PM25|Asthma symptoms cough", US_national_yearly!$D:$AM, 10, FALSE), 1)</f>
        <v>2.384341637536368E-2</v>
      </c>
      <c r="M6" s="7">
        <f>$B6 * IFERROR(VLOOKUP("transport|PM25|Asthma symptoms cough", US_national_yearly!$D:$AM, 21, FALSE) / VLOOKUP("transport|PM25|Asthma symptoms cough", US_national_yearly!$D:$AM, 10, FALSE), 1)</f>
        <v>2.384341637536368E-2</v>
      </c>
      <c r="N6" s="7">
        <f>$B6 * IFERROR(VLOOKUP("transport|PM25|Asthma symptoms cough", US_national_yearly!$D:$AM, 22, FALSE) / VLOOKUP("transport|PM25|Asthma symptoms cough", US_national_yearly!$D:$AM, 10, FALSE), 1)</f>
        <v>2.384341637536368E-2</v>
      </c>
      <c r="O6" s="7">
        <f>$B6 * IFERROR(VLOOKUP("transport|PM25|Asthma symptoms cough", US_national_yearly!$D:$AM, 23, FALSE) / VLOOKUP("transport|PM25|Asthma symptoms cough", US_national_yearly!$D:$AM, 10, FALSE), 1)</f>
        <v>2.384341637536368E-2</v>
      </c>
      <c r="P6" s="7">
        <f>$B6 * IFERROR(VLOOKUP("transport|PM25|Asthma symptoms cough", US_national_yearly!$D:$AM, 24, FALSE) / VLOOKUP("transport|PM25|Asthma symptoms cough", US_national_yearly!$D:$AM, 10, FALSE), 1)</f>
        <v>2.384341637536368E-2</v>
      </c>
      <c r="Q6" s="7">
        <f>$B6 * IFERROR(VLOOKUP("transport|PM25|Asthma symptoms cough", US_national_yearly!$D:$AM, 25, FALSE) / VLOOKUP("transport|PM25|Asthma symptoms cough", US_national_yearly!$D:$AM, 10, FALSE), 1)</f>
        <v>2.384341637536368E-2</v>
      </c>
      <c r="R6" s="7">
        <f>$B6 * IFERROR(VLOOKUP("transport|PM25|Asthma symptoms cough", US_national_yearly!$D:$AM, 26, FALSE) / VLOOKUP("transport|PM25|Asthma symptoms cough", US_national_yearly!$D:$AM, 10, FALSE), 1)</f>
        <v>2.384341637536368E-2</v>
      </c>
      <c r="S6" s="7">
        <f>$B6 * IFERROR(VLOOKUP("transport|PM25|Asthma symptoms cough", US_national_yearly!$D:$AM, 27, FALSE) / VLOOKUP("transport|PM25|Asthma symptoms cough", US_national_yearly!$D:$AM, 10, FALSE), 1)</f>
        <v>2.384341637536368E-2</v>
      </c>
      <c r="T6" s="7">
        <f>$B6 * IFERROR(VLOOKUP("transport|PM25|Asthma symptoms cough", US_national_yearly!$D:$AM, 28, FALSE) / VLOOKUP("transport|PM25|Asthma symptoms cough", US_national_yearly!$D:$AM, 10, FALSE), 1)</f>
        <v>2.384341637536368E-2</v>
      </c>
      <c r="U6" s="7">
        <f>$B6 * IFERROR(VLOOKUP("transport|PM25|Asthma symptoms cough", US_national_yearly!$D:$AM, 29, FALSE) / VLOOKUP("transport|PM25|Asthma symptoms cough", US_national_yearly!$D:$AM, 10, FALSE), 1)</f>
        <v>2.384341637536368E-2</v>
      </c>
      <c r="V6" s="7">
        <f>$B6 * IFERROR(VLOOKUP("transport|PM25|Asthma symptoms cough", US_national_yearly!$D:$AM, 30, FALSE) / VLOOKUP("transport|PM25|Asthma symptoms cough", US_national_yearly!$D:$AM, 10, FALSE), 1)</f>
        <v>2.384341637536368E-2</v>
      </c>
      <c r="W6" s="7">
        <f>$B6 * IFERROR(VLOOKUP("transport|PM25|Asthma symptoms cough", US_national_yearly!$D:$AM, 31, FALSE) / VLOOKUP("transport|PM25|Asthma symptoms cough", US_national_yearly!$D:$AM, 10, FALSE), 1)</f>
        <v>2.384341637536368E-2</v>
      </c>
      <c r="X6" s="7">
        <f>$B6 * IFERROR(VLOOKUP("transport|PM25|Asthma symptoms cough", US_national_yearly!$D:$AM, 32, FALSE) / VLOOKUP("transport|PM25|Asthma symptoms cough", US_national_yearly!$D:$AM, 10, FALSE), 1)</f>
        <v>2.384341637536368E-2</v>
      </c>
      <c r="Y6" s="7">
        <f>$B6 * IFERROR(VLOOKUP("transport|PM25|Asthma symptoms cough", US_national_yearly!$D:$AM, 33, FALSE) / VLOOKUP("transport|PM25|Asthma symptoms cough", US_national_yearly!$D:$AM, 10, FALSE), 1)</f>
        <v>2.384341637536368E-2</v>
      </c>
      <c r="Z6" s="7">
        <f>$B6 * IFERROR(VLOOKUP("transport|PM25|Asthma symptoms cough", US_national_yearly!$D:$AM, 34, FALSE) / VLOOKUP("transport|PM25|Asthma symptoms cough", US_national_yearly!$D:$AM, 10, FALSE), 1)</f>
        <v>2.384341637536368E-2</v>
      </c>
      <c r="AA6" s="7">
        <f>$B6 * IFERROR(VLOOKUP("transport|PM25|Asthma symptoms cough", US_national_yearly!$D:$AM, 35, FALSE) / VLOOKUP("transport|PM25|Asthma symptoms cough", US_national_yearly!$D:$AM, 10, FALSE), 1)</f>
        <v>2.384341637536368E-2</v>
      </c>
      <c r="AB6" s="7">
        <f>$B6 * IFERROR(VLOOKUP("transport|PM25|Asthma symptoms cough", US_national_yearly!$D:$AM, 36, FALSE) / VLOOKUP("transport|PM25|Asthma symptoms cough", US_national_yearly!$D:$AM, 10, FALSE), 1)</f>
        <v>2.384341637536368E-2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3.2108430713585268E-2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3.2108430713585268E-2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3.2108430713585268E-2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3.2108430713585268E-2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3.2108430713585268E-2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3.2108430713585268E-2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3.2108430713585268E-2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3.2108430713585268E-2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3.2108430713585268E-2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3.2108430713585268E-2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3.2108430713585268E-2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3.2108430713585268E-2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3.2108430713585268E-2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3.2108430713585268E-2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3.2108430713585268E-2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3.2108430713585268E-2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3.2108430713585268E-2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3.2108430713585268E-2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3.2108430713585268E-2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3.2108430713585268E-2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3.2108430713585268E-2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3.2108430713585268E-2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3.2108430713585268E-2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3.2108430713585268E-2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3.2108430713585268E-2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3.2108430713585268E-2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3.2108430713585268E-2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4.9056915436518078E-2</v>
      </c>
      <c r="C8" s="7">
        <f>$B8 * IFERROR(VLOOKUP("transport|PM25|Asthma symptoms wheeze", US_national_yearly!$D:$AM, 11, FALSE) / VLOOKUP("transport|PM25|Asthma symptoms wheeze", US_national_yearly!$D:$AM, 10, FALSE), 1)</f>
        <v>4.9056915436518078E-2</v>
      </c>
      <c r="D8" s="7">
        <f>$B8 * IFERROR(VLOOKUP("transport|PM25|Asthma symptoms wheeze", US_national_yearly!$D:$AM, 12, FALSE) / VLOOKUP("transport|PM25|Asthma symptoms wheeze", US_national_yearly!$D:$AM, 10, FALSE), 1)</f>
        <v>4.9056915436518078E-2</v>
      </c>
      <c r="E8" s="7">
        <f>$B8 * IFERROR(VLOOKUP("transport|PM25|Asthma symptoms wheeze", US_national_yearly!$D:$AM, 13, FALSE) / VLOOKUP("transport|PM25|Asthma symptoms wheeze", US_national_yearly!$D:$AM, 10, FALSE), 1)</f>
        <v>4.9056915436518078E-2</v>
      </c>
      <c r="F8" s="7">
        <f>$B8 * IFERROR(VLOOKUP("transport|PM25|Asthma symptoms wheeze", US_national_yearly!$D:$AM, 14, FALSE) / VLOOKUP("transport|PM25|Asthma symptoms wheeze", US_national_yearly!$D:$AM, 10, FALSE), 1)</f>
        <v>4.9056915436518078E-2</v>
      </c>
      <c r="G8" s="7">
        <f>$B8 * IFERROR(VLOOKUP("transport|PM25|Asthma symptoms wheeze", US_national_yearly!$D:$AM, 15, FALSE) / VLOOKUP("transport|PM25|Asthma symptoms wheeze", US_national_yearly!$D:$AM, 10, FALSE), 1)</f>
        <v>4.9056915436518078E-2</v>
      </c>
      <c r="H8" s="7">
        <f>$B8 * IFERROR(VLOOKUP("transport|PM25|Asthma symptoms wheeze", US_national_yearly!$D:$AM, 16, FALSE) / VLOOKUP("transport|PM25|Asthma symptoms wheeze", US_national_yearly!$D:$AM, 10, FALSE), 1)</f>
        <v>4.9056915436518078E-2</v>
      </c>
      <c r="I8" s="7">
        <f>$B8 * IFERROR(VLOOKUP("transport|PM25|Asthma symptoms wheeze", US_national_yearly!$D:$AM, 17, FALSE) / VLOOKUP("transport|PM25|Asthma symptoms wheeze", US_national_yearly!$D:$AM, 10, FALSE), 1)</f>
        <v>4.9056915436518078E-2</v>
      </c>
      <c r="J8" s="7">
        <f>$B8 * IFERROR(VLOOKUP("transport|PM25|Asthma symptoms wheeze", US_national_yearly!$D:$AM, 18, FALSE) / VLOOKUP("transport|PM25|Asthma symptoms wheeze", US_national_yearly!$D:$AM, 10, FALSE), 1)</f>
        <v>4.9056915436518078E-2</v>
      </c>
      <c r="K8" s="7">
        <f>$B8 * IFERROR(VLOOKUP("transport|PM25|Asthma symptoms wheeze", US_national_yearly!$D:$AM, 19, FALSE) / VLOOKUP("transport|PM25|Asthma symptoms wheeze", US_national_yearly!$D:$AM, 10, FALSE), 1)</f>
        <v>4.9056915436518078E-2</v>
      </c>
      <c r="L8" s="7">
        <f>$B8 * IFERROR(VLOOKUP("transport|PM25|Asthma symptoms wheeze", US_national_yearly!$D:$AM, 20, FALSE) / VLOOKUP("transport|PM25|Asthma symptoms wheeze", US_national_yearly!$D:$AM, 10, FALSE), 1)</f>
        <v>4.9056915436518078E-2</v>
      </c>
      <c r="M8" s="7">
        <f>$B8 * IFERROR(VLOOKUP("transport|PM25|Asthma symptoms wheeze", US_national_yearly!$D:$AM, 21, FALSE) / VLOOKUP("transport|PM25|Asthma symptoms wheeze", US_national_yearly!$D:$AM, 10, FALSE), 1)</f>
        <v>4.9056915436518078E-2</v>
      </c>
      <c r="N8" s="7">
        <f>$B8 * IFERROR(VLOOKUP("transport|PM25|Asthma symptoms wheeze", US_national_yearly!$D:$AM, 22, FALSE) / VLOOKUP("transport|PM25|Asthma symptoms wheeze", US_national_yearly!$D:$AM, 10, FALSE), 1)</f>
        <v>4.9056915436518078E-2</v>
      </c>
      <c r="O8" s="7">
        <f>$B8 * IFERROR(VLOOKUP("transport|PM25|Asthma symptoms wheeze", US_national_yearly!$D:$AM, 23, FALSE) / VLOOKUP("transport|PM25|Asthma symptoms wheeze", US_national_yearly!$D:$AM, 10, FALSE), 1)</f>
        <v>4.9056915436518078E-2</v>
      </c>
      <c r="P8" s="7">
        <f>$B8 * IFERROR(VLOOKUP("transport|PM25|Asthma symptoms wheeze", US_national_yearly!$D:$AM, 24, FALSE) / VLOOKUP("transport|PM25|Asthma symptoms wheeze", US_national_yearly!$D:$AM, 10, FALSE), 1)</f>
        <v>4.9056915436518078E-2</v>
      </c>
      <c r="Q8" s="7">
        <f>$B8 * IFERROR(VLOOKUP("transport|PM25|Asthma symptoms wheeze", US_national_yearly!$D:$AM, 25, FALSE) / VLOOKUP("transport|PM25|Asthma symptoms wheeze", US_national_yearly!$D:$AM, 10, FALSE), 1)</f>
        <v>4.9056915436518078E-2</v>
      </c>
      <c r="R8" s="7">
        <f>$B8 * IFERROR(VLOOKUP("transport|PM25|Asthma symptoms wheeze", US_national_yearly!$D:$AM, 26, FALSE) / VLOOKUP("transport|PM25|Asthma symptoms wheeze", US_national_yearly!$D:$AM, 10, FALSE), 1)</f>
        <v>4.9056915436518078E-2</v>
      </c>
      <c r="S8" s="7">
        <f>$B8 * IFERROR(VLOOKUP("transport|PM25|Asthma symptoms wheeze", US_national_yearly!$D:$AM, 27, FALSE) / VLOOKUP("transport|PM25|Asthma symptoms wheeze", US_national_yearly!$D:$AM, 10, FALSE), 1)</f>
        <v>4.9056915436518078E-2</v>
      </c>
      <c r="T8" s="7">
        <f>$B8 * IFERROR(VLOOKUP("transport|PM25|Asthma symptoms wheeze", US_national_yearly!$D:$AM, 28, FALSE) / VLOOKUP("transport|PM25|Asthma symptoms wheeze", US_national_yearly!$D:$AM, 10, FALSE), 1)</f>
        <v>4.9056915436518078E-2</v>
      </c>
      <c r="U8" s="7">
        <f>$B8 * IFERROR(VLOOKUP("transport|PM25|Asthma symptoms wheeze", US_national_yearly!$D:$AM, 29, FALSE) / VLOOKUP("transport|PM25|Asthma symptoms wheeze", US_national_yearly!$D:$AM, 10, FALSE), 1)</f>
        <v>4.9056915436518078E-2</v>
      </c>
      <c r="V8" s="7">
        <f>$B8 * IFERROR(VLOOKUP("transport|PM25|Asthma symptoms wheeze", US_national_yearly!$D:$AM, 30, FALSE) / VLOOKUP("transport|PM25|Asthma symptoms wheeze", US_national_yearly!$D:$AM, 10, FALSE), 1)</f>
        <v>4.9056915436518078E-2</v>
      </c>
      <c r="W8" s="7">
        <f>$B8 * IFERROR(VLOOKUP("transport|PM25|Asthma symptoms wheeze", US_national_yearly!$D:$AM, 31, FALSE) / VLOOKUP("transport|PM25|Asthma symptoms wheeze", US_national_yearly!$D:$AM, 10, FALSE), 1)</f>
        <v>4.9056915436518078E-2</v>
      </c>
      <c r="X8" s="7">
        <f>$B8 * IFERROR(VLOOKUP("transport|PM25|Asthma symptoms wheeze", US_national_yearly!$D:$AM, 32, FALSE) / VLOOKUP("transport|PM25|Asthma symptoms wheeze", US_national_yearly!$D:$AM, 10, FALSE), 1)</f>
        <v>4.9056915436518078E-2</v>
      </c>
      <c r="Y8" s="7">
        <f>$B8 * IFERROR(VLOOKUP("transport|PM25|Asthma symptoms wheeze", US_national_yearly!$D:$AM, 33, FALSE) / VLOOKUP("transport|PM25|Asthma symptoms wheeze", US_national_yearly!$D:$AM, 10, FALSE), 1)</f>
        <v>4.9056915436518078E-2</v>
      </c>
      <c r="Z8" s="7">
        <f>$B8 * IFERROR(VLOOKUP("transport|PM25|Asthma symptoms wheeze", US_national_yearly!$D:$AM, 34, FALSE) / VLOOKUP("transport|PM25|Asthma symptoms wheeze", US_national_yearly!$D:$AM, 10, FALSE), 1)</f>
        <v>4.9056915436518078E-2</v>
      </c>
      <c r="AA8" s="7">
        <f>$B8 * IFERROR(VLOOKUP("transport|PM25|Asthma symptoms wheeze", US_national_yearly!$D:$AM, 35, FALSE) / VLOOKUP("transport|PM25|Asthma symptoms wheeze", US_national_yearly!$D:$AM, 10, FALSE), 1)</f>
        <v>4.9056915436518078E-2</v>
      </c>
      <c r="AB8" s="7">
        <f>$B8 * IFERROR(VLOOKUP("transport|PM25|Asthma symptoms wheeze", US_national_yearly!$D:$AM, 36, FALSE) / VLOOKUP("transport|PM25|Asthma symptoms wheeze", US_national_yearly!$D:$AM, 10, FALSE), 1)</f>
        <v>4.9056915436518078E-2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8.9188137225853364E-4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8.969932768053317E-4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9.0210518135212965E-4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9.0721708589892771E-4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9.1232899044572566E-4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9.1785006540596515E-4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9.2337114036620475E-4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9.2864631772568592E-4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9.3392149508516752E-4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9.3919667244464901E-4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9.4447184980413061E-4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9.4974702716361177E-4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9.5353317589383542E-4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9.5731932462405885E-4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9.6110547335428206E-4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9.6489162208450538E-4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9.6867777081472903E-4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9.7228268329865582E-4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9.7588759578258271E-4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9.794925082665096E-4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9.8309742075043628E-4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9.8670233323436317E-4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9.901703050287777E-4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9.9363827682319222E-4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9.9710624861760674E-4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1.0005742204120211E-3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1.0040421922064356E-3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5.2458451897703746E-3</v>
      </c>
      <c r="C13" s="7">
        <f>$B13 * IFERROR(VLOOKUP("transport|PM25|Non-fatal heart attacks", US_national_yearly!$D:$AM, 11, FALSE) / VLOOKUP("transport|PM25|Non-fatal heart attacks", US_national_yearly!$D:$AM, 10, FALSE), 1)</f>
        <v>5.3983558303168895E-3</v>
      </c>
      <c r="D13" s="7">
        <f>$B13 * IFERROR(VLOOKUP("transport|PM25|Non-fatal heart attacks", US_national_yearly!$D:$AM, 12, FALSE) / VLOOKUP("transport|PM25|Non-fatal heart attacks", US_national_yearly!$D:$AM, 10, FALSE), 1)</f>
        <v>5.5508664708634036E-3</v>
      </c>
      <c r="E13" s="7">
        <f>$B13 * IFERROR(VLOOKUP("transport|PM25|Non-fatal heart attacks", US_national_yearly!$D:$AM, 13, FALSE) / VLOOKUP("transport|PM25|Non-fatal heart attacks", US_national_yearly!$D:$AM, 10, FALSE), 1)</f>
        <v>5.7033771114099177E-3</v>
      </c>
      <c r="F13" s="7">
        <f>$B13 * IFERROR(VLOOKUP("transport|PM25|Non-fatal heart attacks", US_national_yearly!$D:$AM, 14, FALSE) / VLOOKUP("transport|PM25|Non-fatal heart attacks", US_national_yearly!$D:$AM, 10, FALSE), 1)</f>
        <v>5.8558877519564335E-3</v>
      </c>
      <c r="G13" s="7">
        <f>$B13 * IFERROR(VLOOKUP("transport|PM25|Non-fatal heart attacks", US_national_yearly!$D:$AM, 15, FALSE) / VLOOKUP("transport|PM25|Non-fatal heart attacks", US_national_yearly!$D:$AM, 10, FALSE), 1)</f>
        <v>5.9997149275275701E-3</v>
      </c>
      <c r="H13" s="7">
        <f>$B13 * IFERROR(VLOOKUP("transport|PM25|Non-fatal heart attacks", US_national_yearly!$D:$AM, 16, FALSE) / VLOOKUP("transport|PM25|Non-fatal heart attacks", US_national_yearly!$D:$AM, 10, FALSE), 1)</f>
        <v>6.1435421030987059E-3</v>
      </c>
      <c r="I13" s="7">
        <f>$B13 * IFERROR(VLOOKUP("transport|PM25|Non-fatal heart attacks", US_national_yearly!$D:$AM, 17, FALSE) / VLOOKUP("transport|PM25|Non-fatal heart attacks", US_national_yearly!$D:$AM, 10, FALSE), 1)</f>
        <v>6.2591312930452888E-3</v>
      </c>
      <c r="J13" s="7">
        <f>$B13 * IFERROR(VLOOKUP("transport|PM25|Non-fatal heart attacks", US_national_yearly!$D:$AM, 18, FALSE) / VLOOKUP("transport|PM25|Non-fatal heart attacks", US_national_yearly!$D:$AM, 10, FALSE), 1)</f>
        <v>6.3747204829918708E-3</v>
      </c>
      <c r="K13" s="7">
        <f>$B13 * IFERROR(VLOOKUP("transport|PM25|Non-fatal heart attacks", US_national_yearly!$D:$AM, 19, FALSE) / VLOOKUP("transport|PM25|Non-fatal heart attacks", US_national_yearly!$D:$AM, 10, FALSE), 1)</f>
        <v>6.4903096729384546E-3</v>
      </c>
      <c r="L13" s="7">
        <f>$B13 * IFERROR(VLOOKUP("transport|PM25|Non-fatal heart attacks", US_national_yearly!$D:$AM, 20, FALSE) / VLOOKUP("transport|PM25|Non-fatal heart attacks", US_national_yearly!$D:$AM, 10, FALSE), 1)</f>
        <v>6.6058988628850367E-3</v>
      </c>
      <c r="M13" s="7">
        <f>$B13 * IFERROR(VLOOKUP("transport|PM25|Non-fatal heart attacks", US_national_yearly!$D:$AM, 21, FALSE) / VLOOKUP("transport|PM25|Non-fatal heart attacks", US_national_yearly!$D:$AM, 10, FALSE), 1)</f>
        <v>6.7214880528316196E-3</v>
      </c>
      <c r="N13" s="7">
        <f>$B13 * IFERROR(VLOOKUP("transport|PM25|Non-fatal heart attacks", US_national_yearly!$D:$AM, 22, FALSE) / VLOOKUP("transport|PM25|Non-fatal heart attacks", US_national_yearly!$D:$AM, 10, FALSE), 1)</f>
        <v>6.7960316664371591E-3</v>
      </c>
      <c r="O13" s="7">
        <f>$B13 * IFERROR(VLOOKUP("transport|PM25|Non-fatal heart attacks", US_national_yearly!$D:$AM, 23, FALSE) / VLOOKUP("transport|PM25|Non-fatal heart attacks", US_national_yearly!$D:$AM, 10, FALSE), 1)</f>
        <v>6.8705752800426994E-3</v>
      </c>
      <c r="P13" s="7">
        <f>$B13 * IFERROR(VLOOKUP("transport|PM25|Non-fatal heart attacks", US_national_yearly!$D:$AM, 24, FALSE) / VLOOKUP("transport|PM25|Non-fatal heart attacks", US_national_yearly!$D:$AM, 10, FALSE), 1)</f>
        <v>6.9451188936482389E-3</v>
      </c>
      <c r="Q13" s="7">
        <f>$B13 * IFERROR(VLOOKUP("transport|PM25|Non-fatal heart attacks", US_national_yearly!$D:$AM, 25, FALSE) / VLOOKUP("transport|PM25|Non-fatal heart attacks", US_national_yearly!$D:$AM, 10, FALSE), 1)</f>
        <v>7.0196625072537783E-3</v>
      </c>
      <c r="R13" s="7">
        <f>$B13 * IFERROR(VLOOKUP("transport|PM25|Non-fatal heart attacks", US_national_yearly!$D:$AM, 26, FALSE) / VLOOKUP("transport|PM25|Non-fatal heart attacks", US_national_yearly!$D:$AM, 10, FALSE), 1)</f>
        <v>7.0942061208593178E-3</v>
      </c>
      <c r="S13" s="7">
        <f>$B13 * IFERROR(VLOOKUP("transport|PM25|Non-fatal heart attacks", US_national_yearly!$D:$AM, 27, FALSE) / VLOOKUP("transport|PM25|Non-fatal heart attacks", US_national_yearly!$D:$AM, 10, FALSE), 1)</f>
        <v>7.1334629174787823E-3</v>
      </c>
      <c r="T13" s="7">
        <f>$B13 * IFERROR(VLOOKUP("transport|PM25|Non-fatal heart attacks", US_national_yearly!$D:$AM, 28, FALSE) / VLOOKUP("transport|PM25|Non-fatal heart attacks", US_national_yearly!$D:$AM, 10, FALSE), 1)</f>
        <v>7.1727197140982494E-3</v>
      </c>
      <c r="U13" s="7">
        <f>$B13 * IFERROR(VLOOKUP("transport|PM25|Non-fatal heart attacks", US_national_yearly!$D:$AM, 29, FALSE) / VLOOKUP("transport|PM25|Non-fatal heart attacks", US_national_yearly!$D:$AM, 10, FALSE), 1)</f>
        <v>7.2119765107177157E-3</v>
      </c>
      <c r="V13" s="7">
        <f>$B13 * IFERROR(VLOOKUP("transport|PM25|Non-fatal heart attacks", US_national_yearly!$D:$AM, 30, FALSE) / VLOOKUP("transport|PM25|Non-fatal heart attacks", US_national_yearly!$D:$AM, 10, FALSE), 1)</f>
        <v>7.251233307337181E-3</v>
      </c>
      <c r="W13" s="7">
        <f>$B13 * IFERROR(VLOOKUP("transport|PM25|Non-fatal heart attacks", US_national_yearly!$D:$AM, 31, FALSE) / VLOOKUP("transport|PM25|Non-fatal heart attacks", US_national_yearly!$D:$AM, 10, FALSE), 1)</f>
        <v>7.2904901039566464E-3</v>
      </c>
      <c r="X13" s="7">
        <f>$B13 * IFERROR(VLOOKUP("transport|PM25|Non-fatal heart attacks", US_national_yearly!$D:$AM, 32, FALSE) / VLOOKUP("transport|PM25|Non-fatal heart attacks", US_national_yearly!$D:$AM, 10, FALSE), 1)</f>
        <v>7.3202916890069501E-3</v>
      </c>
      <c r="Y13" s="7">
        <f>$B13 * IFERROR(VLOOKUP("transport|PM25|Non-fatal heart attacks", US_national_yearly!$D:$AM, 33, FALSE) / VLOOKUP("transport|PM25|Non-fatal heart attacks", US_national_yearly!$D:$AM, 10, FALSE), 1)</f>
        <v>7.3500932740572554E-3</v>
      </c>
      <c r="Z13" s="7">
        <f>$B13 * IFERROR(VLOOKUP("transport|PM25|Non-fatal heart attacks", US_national_yearly!$D:$AM, 34, FALSE) / VLOOKUP("transport|PM25|Non-fatal heart attacks", US_national_yearly!$D:$AM, 10, FALSE), 1)</f>
        <v>7.3798948591075591E-3</v>
      </c>
      <c r="AA13" s="7">
        <f>$B13 * IFERROR(VLOOKUP("transport|PM25|Non-fatal heart attacks", US_national_yearly!$D:$AM, 35, FALSE) / VLOOKUP("transport|PM25|Non-fatal heart attacks", US_national_yearly!$D:$AM, 10, FALSE), 1)</f>
        <v>7.4096964441578645E-3</v>
      </c>
      <c r="AB13" s="7">
        <f>$B13 * IFERROR(VLOOKUP("transport|PM25|Non-fatal heart attacks", US_national_yearly!$D:$AM, 36, FALSE) / VLOOKUP("transport|PM25|Non-fatal heart attacks", US_national_yearly!$D:$AM, 10, FALSE), 1)</f>
        <v>7.4394980292081681E-3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3.5178771608951052</v>
      </c>
      <c r="C14" s="7">
        <f>$B14 * IFERROR(VLOOKUP("transport|PM25|Minor restricted activity days", US_national_yearly!$D:$AM, 11, FALSE) / VLOOKUP("transport|PM25|Minor restricted activity days", US_national_yearly!$D:$AM, 10, FALSE), 1)</f>
        <v>3.526468234110173</v>
      </c>
      <c r="D14" s="7">
        <f>$B14 * IFERROR(VLOOKUP("transport|PM25|Minor restricted activity days", US_national_yearly!$D:$AM, 12, FALSE) / VLOOKUP("transport|PM25|Minor restricted activity days", US_national_yearly!$D:$AM, 10, FALSE), 1)</f>
        <v>3.5350593073252403</v>
      </c>
      <c r="E14" s="7">
        <f>$B14 * IFERROR(VLOOKUP("transport|PM25|Minor restricted activity days", US_national_yearly!$D:$AM, 13, FALSE) / VLOOKUP("transport|PM25|Minor restricted activity days", US_national_yearly!$D:$AM, 10, FALSE), 1)</f>
        <v>3.5436503805403086</v>
      </c>
      <c r="F14" s="7">
        <f>$B14 * IFERROR(VLOOKUP("transport|PM25|Minor restricted activity days", US_national_yearly!$D:$AM, 14, FALSE) / VLOOKUP("transport|PM25|Minor restricted activity days", US_national_yearly!$D:$AM, 10, FALSE), 1)</f>
        <v>3.5522414537553755</v>
      </c>
      <c r="G14" s="7">
        <f>$B14 * IFERROR(VLOOKUP("transport|PM25|Minor restricted activity days", US_national_yearly!$D:$AM, 15, FALSE) / VLOOKUP("transport|PM25|Minor restricted activity days", US_national_yearly!$D:$AM, 10, FALSE), 1)</f>
        <v>3.5649173251756667</v>
      </c>
      <c r="H14" s="7">
        <f>$B14 * IFERROR(VLOOKUP("transport|PM25|Minor restricted activity days", US_national_yearly!$D:$AM, 16, FALSE) / VLOOKUP("transport|PM25|Minor restricted activity days", US_national_yearly!$D:$AM, 10, FALSE), 1)</f>
        <v>3.5775931965959584</v>
      </c>
      <c r="I14" s="7">
        <f>$B14 * IFERROR(VLOOKUP("transport|PM25|Minor restricted activity days", US_national_yearly!$D:$AM, 17, FALSE) / VLOOKUP("transport|PM25|Minor restricted activity days", US_national_yearly!$D:$AM, 10, FALSE), 1)</f>
        <v>3.5992631320733874</v>
      </c>
      <c r="J14" s="7">
        <f>$B14 * IFERROR(VLOOKUP("transport|PM25|Minor restricted activity days", US_national_yearly!$D:$AM, 18, FALSE) / VLOOKUP("transport|PM25|Minor restricted activity days", US_national_yearly!$D:$AM, 10, FALSE), 1)</f>
        <v>3.6209330675508156</v>
      </c>
      <c r="K14" s="7">
        <f>$B14 * IFERROR(VLOOKUP("transport|PM25|Minor restricted activity days", US_national_yearly!$D:$AM, 19, FALSE) / VLOOKUP("transport|PM25|Minor restricted activity days", US_national_yearly!$D:$AM, 10, FALSE), 1)</f>
        <v>3.642603003028245</v>
      </c>
      <c r="L14" s="7">
        <f>$B14 * IFERROR(VLOOKUP("transport|PM25|Minor restricted activity days", US_national_yearly!$D:$AM, 20, FALSE) / VLOOKUP("transport|PM25|Minor restricted activity days", US_national_yearly!$D:$AM, 10, FALSE), 1)</f>
        <v>3.6642729385056736</v>
      </c>
      <c r="M14" s="7">
        <f>$B14 * IFERROR(VLOOKUP("transport|PM25|Minor restricted activity days", US_national_yearly!$D:$AM, 21, FALSE) / VLOOKUP("transport|PM25|Minor restricted activity days", US_national_yearly!$D:$AM, 10, FALSE), 1)</f>
        <v>3.6859428739831022</v>
      </c>
      <c r="N14" s="7">
        <f>$B14 * IFERROR(VLOOKUP("transport|PM25|Minor restricted activity days", US_national_yearly!$D:$AM, 22, FALSE) / VLOOKUP("transport|PM25|Minor restricted activity days", US_national_yearly!$D:$AM, 10, FALSE), 1)</f>
        <v>3.7154616405798406</v>
      </c>
      <c r="O14" s="7">
        <f>$B14 * IFERROR(VLOOKUP("transport|PM25|Minor restricted activity days", US_national_yearly!$D:$AM, 23, FALSE) / VLOOKUP("transport|PM25|Minor restricted activity days", US_national_yearly!$D:$AM, 10, FALSE), 1)</f>
        <v>3.7449804071765787</v>
      </c>
      <c r="P14" s="7">
        <f>$B14 * IFERROR(VLOOKUP("transport|PM25|Minor restricted activity days", US_national_yearly!$D:$AM, 24, FALSE) / VLOOKUP("transport|PM25|Minor restricted activity days", US_national_yearly!$D:$AM, 10, FALSE), 1)</f>
        <v>3.7744991737733171</v>
      </c>
      <c r="Q14" s="7">
        <f>$B14 * IFERROR(VLOOKUP("transport|PM25|Minor restricted activity days", US_national_yearly!$D:$AM, 25, FALSE) / VLOOKUP("transport|PM25|Minor restricted activity days", US_national_yearly!$D:$AM, 10, FALSE), 1)</f>
        <v>3.8040179403700551</v>
      </c>
      <c r="R14" s="7">
        <f>$B14 * IFERROR(VLOOKUP("transport|PM25|Minor restricted activity days", US_national_yearly!$D:$AM, 26, FALSE) / VLOOKUP("transport|PM25|Minor restricted activity days", US_national_yearly!$D:$AM, 10, FALSE), 1)</f>
        <v>3.8335367069667927</v>
      </c>
      <c r="S14" s="7">
        <f>$B14 * IFERROR(VLOOKUP("transport|PM25|Minor restricted activity days", US_national_yearly!$D:$AM, 27, FALSE) / VLOOKUP("transport|PM25|Minor restricted activity days", US_national_yearly!$D:$AM, 10, FALSE), 1)</f>
        <v>3.8632587596363912</v>
      </c>
      <c r="T14" s="7">
        <f>$B14 * IFERROR(VLOOKUP("transport|PM25|Minor restricted activity days", US_national_yearly!$D:$AM, 28, FALSE) / VLOOKUP("transport|PM25|Minor restricted activity days", US_national_yearly!$D:$AM, 10, FALSE), 1)</f>
        <v>3.8929808123059897</v>
      </c>
      <c r="U14" s="7">
        <f>$B14 * IFERROR(VLOOKUP("transport|PM25|Minor restricted activity days", US_national_yearly!$D:$AM, 29, FALSE) / VLOOKUP("transport|PM25|Minor restricted activity days", US_national_yearly!$D:$AM, 10, FALSE), 1)</f>
        <v>3.9227028649755877</v>
      </c>
      <c r="V14" s="7">
        <f>$B14 * IFERROR(VLOOKUP("transport|PM25|Minor restricted activity days", US_national_yearly!$D:$AM, 30, FALSE) / VLOOKUP("transport|PM25|Minor restricted activity days", US_national_yearly!$D:$AM, 10, FALSE), 1)</f>
        <v>3.9524249176451862</v>
      </c>
      <c r="W14" s="7">
        <f>$B14 * IFERROR(VLOOKUP("transport|PM25|Minor restricted activity days", US_national_yearly!$D:$AM, 31, FALSE) / VLOOKUP("transport|PM25|Minor restricted activity days", US_national_yearly!$D:$AM, 10, FALSE), 1)</f>
        <v>3.9821469703147843</v>
      </c>
      <c r="X14" s="7">
        <f>$B14 * IFERROR(VLOOKUP("transport|PM25|Minor restricted activity days", US_national_yearly!$D:$AM, 32, FALSE) / VLOOKUP("transport|PM25|Minor restricted activity days", US_national_yearly!$D:$AM, 10, FALSE), 1)</f>
        <v>4.0079487021273845</v>
      </c>
      <c r="Y14" s="7">
        <f>$B14 * IFERROR(VLOOKUP("transport|PM25|Minor restricted activity days", US_national_yearly!$D:$AM, 33, FALSE) / VLOOKUP("transport|PM25|Minor restricted activity days", US_national_yearly!$D:$AM, 10, FALSE), 1)</f>
        <v>4.0337504339399848</v>
      </c>
      <c r="Z14" s="7">
        <f>$B14 * IFERROR(VLOOKUP("transport|PM25|Minor restricted activity days", US_national_yearly!$D:$AM, 34, FALSE) / VLOOKUP("transport|PM25|Minor restricted activity days", US_national_yearly!$D:$AM, 10, FALSE), 1)</f>
        <v>4.0595521657525842</v>
      </c>
      <c r="AA14" s="7">
        <f>$B14 * IFERROR(VLOOKUP("transport|PM25|Minor restricted activity days", US_national_yearly!$D:$AM, 35, FALSE) / VLOOKUP("transport|PM25|Minor restricted activity days", US_national_yearly!$D:$AM, 10, FALSE), 1)</f>
        <v>4.0853538975651835</v>
      </c>
      <c r="AB14" s="7">
        <f>$B14 * IFERROR(VLOOKUP("transport|PM25|Minor restricted activity days", US_national_yearly!$D:$AM, 36, FALSE) / VLOOKUP("transport|PM25|Minor restricted activity days", US_national_yearly!$D:$AM, 10, FALSE), 1)</f>
        <v>4.1111556293777838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0.58867651708980118</v>
      </c>
      <c r="C15" s="7">
        <f>$B15 * IFERROR(VLOOKUP("transport|PM25|Work loss days", US_national_yearly!$D:$AM, 11, FALSE) / VLOOKUP("transport|PM25|Work loss days", US_national_yearly!$D:$AM, 10, FALSE), 1)</f>
        <v>0.59050120226869018</v>
      </c>
      <c r="D15" s="7">
        <f>$B15 * IFERROR(VLOOKUP("transport|PM25|Work loss days", US_national_yearly!$D:$AM, 12, FALSE) / VLOOKUP("transport|PM25|Work loss days", US_national_yearly!$D:$AM, 10, FALSE), 1)</f>
        <v>0.59232588744757941</v>
      </c>
      <c r="E15" s="7">
        <f>$B15 * IFERROR(VLOOKUP("transport|PM25|Work loss days", US_national_yearly!$D:$AM, 13, FALSE) / VLOOKUP("transport|PM25|Work loss days", US_national_yearly!$D:$AM, 10, FALSE), 1)</f>
        <v>0.59415057262646842</v>
      </c>
      <c r="F15" s="7">
        <f>$B15 * IFERROR(VLOOKUP("transport|PM25|Work loss days", US_national_yearly!$D:$AM, 14, FALSE) / VLOOKUP("transport|PM25|Work loss days", US_national_yearly!$D:$AM, 10, FALSE), 1)</f>
        <v>0.59597525780535754</v>
      </c>
      <c r="G15" s="7">
        <f>$B15 * IFERROR(VLOOKUP("transport|PM25|Work loss days", US_national_yearly!$D:$AM, 15, FALSE) / VLOOKUP("transport|PM25|Work loss days", US_national_yearly!$D:$AM, 10, FALSE), 1)</f>
        <v>0.59836753650979235</v>
      </c>
      <c r="H15" s="7">
        <f>$B15 * IFERROR(VLOOKUP("transport|PM25|Work loss days", US_national_yearly!$D:$AM, 16, FALSE) / VLOOKUP("transport|PM25|Work loss days", US_national_yearly!$D:$AM, 10, FALSE), 1)</f>
        <v>0.60075981521422739</v>
      </c>
      <c r="I15" s="7">
        <f>$B15 * IFERROR(VLOOKUP("transport|PM25|Work loss days", US_national_yearly!$D:$AM, 17, FALSE) / VLOOKUP("transport|PM25|Work loss days", US_national_yearly!$D:$AM, 10, FALSE), 1)</f>
        <v>0.60428270872106071</v>
      </c>
      <c r="J15" s="7">
        <f>$B15 * IFERROR(VLOOKUP("transport|PM25|Work loss days", US_national_yearly!$D:$AM, 18, FALSE) / VLOOKUP("transport|PM25|Work loss days", US_national_yearly!$D:$AM, 10, FALSE), 1)</f>
        <v>0.60780560222789404</v>
      </c>
      <c r="K15" s="7">
        <f>$B15 * IFERROR(VLOOKUP("transport|PM25|Work loss days", US_national_yearly!$D:$AM, 19, FALSE) / VLOOKUP("transport|PM25|Work loss days", US_national_yearly!$D:$AM, 10, FALSE), 1)</f>
        <v>0.61132849573472736</v>
      </c>
      <c r="L15" s="7">
        <f>$B15 * IFERROR(VLOOKUP("transport|PM25|Work loss days", US_national_yearly!$D:$AM, 20, FALSE) / VLOOKUP("transport|PM25|Work loss days", US_national_yearly!$D:$AM, 10, FALSE), 1)</f>
        <v>0.61485138924156069</v>
      </c>
      <c r="M15" s="7">
        <f>$B15 * IFERROR(VLOOKUP("transport|PM25|Work loss days", US_national_yearly!$D:$AM, 21, FALSE) / VLOOKUP("transport|PM25|Work loss days", US_national_yearly!$D:$AM, 10, FALSE), 1)</f>
        <v>0.61837428274839401</v>
      </c>
      <c r="N15" s="7">
        <f>$B15 * IFERROR(VLOOKUP("transport|PM25|Work loss days", US_national_yearly!$D:$AM, 22, FALSE) / VLOOKUP("transport|PM25|Work loss days", US_national_yearly!$D:$AM, 10, FALSE), 1)</f>
        <v>0.62280811087032972</v>
      </c>
      <c r="O15" s="7">
        <f>$B15 * IFERROR(VLOOKUP("transport|PM25|Work loss days", US_national_yearly!$D:$AM, 23, FALSE) / VLOOKUP("transport|PM25|Work loss days", US_national_yearly!$D:$AM, 10, FALSE), 1)</f>
        <v>0.62724193899226521</v>
      </c>
      <c r="P15" s="7">
        <f>$B15 * IFERROR(VLOOKUP("transport|PM25|Work loss days", US_national_yearly!$D:$AM, 24, FALSE) / VLOOKUP("transport|PM25|Work loss days", US_national_yearly!$D:$AM, 10, FALSE), 1)</f>
        <v>0.63167576711420081</v>
      </c>
      <c r="Q15" s="7">
        <f>$B15 * IFERROR(VLOOKUP("transport|PM25|Work loss days", US_national_yearly!$D:$AM, 25, FALSE) / VLOOKUP("transport|PM25|Work loss days", US_national_yearly!$D:$AM, 10, FALSE), 1)</f>
        <v>0.6361095952361363</v>
      </c>
      <c r="R15" s="7">
        <f>$B15 * IFERROR(VLOOKUP("transport|PM25|Work loss days", US_national_yearly!$D:$AM, 26, FALSE) / VLOOKUP("transport|PM25|Work loss days", US_national_yearly!$D:$AM, 10, FALSE), 1)</f>
        <v>0.64054342335807191</v>
      </c>
      <c r="S15" s="7">
        <f>$B15 * IFERROR(VLOOKUP("transport|PM25|Work loss days", US_national_yearly!$D:$AM, 27, FALSE) / VLOOKUP("transport|PM25|Work loss days", US_national_yearly!$D:$AM, 10, FALSE), 1)</f>
        <v>0.64544742655636567</v>
      </c>
      <c r="T15" s="7">
        <f>$B15 * IFERROR(VLOOKUP("transport|PM25|Work loss days", US_national_yearly!$D:$AM, 28, FALSE) / VLOOKUP("transport|PM25|Work loss days", US_national_yearly!$D:$AM, 10, FALSE), 1)</f>
        <v>0.65035142975465943</v>
      </c>
      <c r="U15" s="7">
        <f>$B15 * IFERROR(VLOOKUP("transport|PM25|Work loss days", US_national_yearly!$D:$AM, 29, FALSE) / VLOOKUP("transport|PM25|Work loss days", US_national_yearly!$D:$AM, 10, FALSE), 1)</f>
        <v>0.65525543295295297</v>
      </c>
      <c r="V15" s="7">
        <f>$B15 * IFERROR(VLOOKUP("transport|PM25|Work loss days", US_national_yearly!$D:$AM, 30, FALSE) / VLOOKUP("transport|PM25|Work loss days", US_national_yearly!$D:$AM, 10, FALSE), 1)</f>
        <v>0.66015943615124684</v>
      </c>
      <c r="W15" s="7">
        <f>$B15 * IFERROR(VLOOKUP("transport|PM25|Work loss days", US_national_yearly!$D:$AM, 31, FALSE) / VLOOKUP("transport|PM25|Work loss days", US_national_yearly!$D:$AM, 10, FALSE), 1)</f>
        <v>0.66506343934954049</v>
      </c>
      <c r="X15" s="7">
        <f>$B15 * IFERROR(VLOOKUP("transport|PM25|Work loss days", US_national_yearly!$D:$AM, 32, FALSE) / VLOOKUP("transport|PM25|Work loss days", US_national_yearly!$D:$AM, 10, FALSE), 1)</f>
        <v>0.66941461281385373</v>
      </c>
      <c r="Y15" s="7">
        <f>$B15 * IFERROR(VLOOKUP("transport|PM25|Work loss days", US_national_yearly!$D:$AM, 33, FALSE) / VLOOKUP("transport|PM25|Work loss days", US_national_yearly!$D:$AM, 10, FALSE), 1)</f>
        <v>0.67376578627816708</v>
      </c>
      <c r="Z15" s="7">
        <f>$B15 * IFERROR(VLOOKUP("transport|PM25|Work loss days", US_national_yearly!$D:$AM, 34, FALSE) / VLOOKUP("transport|PM25|Work loss days", US_national_yearly!$D:$AM, 10, FALSE), 1)</f>
        <v>0.67811695974248054</v>
      </c>
      <c r="AA15" s="7">
        <f>$B15 * IFERROR(VLOOKUP("transport|PM25|Work loss days", US_national_yearly!$D:$AM, 35, FALSE) / VLOOKUP("transport|PM25|Work loss days", US_national_yearly!$D:$AM, 10, FALSE), 1)</f>
        <v>0.68246813320679389</v>
      </c>
      <c r="AB15" s="7">
        <f>$B15 * IFERROR(VLOOKUP("transport|PM25|Work loss days", US_national_yearly!$D:$AM, 36, FALSE) / VLOOKUP("transport|PM25|Work loss days", US_national_yearly!$D:$AM, 10, FALSE), 1)</f>
        <v>0.68681930667110724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1.2862672053394091E-3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1.3247017663707546E-3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1.3631363274021E-3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1.4015708884334457E-3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1.4400054494647914E-3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1.4768188934920759E-3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1.513632337519361E-3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1.5451172159905934E-3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1.5766020944618256E-3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1.6080869729330578E-3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1.6395718514042904E-3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1.6710567298755226E-3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1.6920484171940419E-3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1.7130401045125617E-3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1.734031791831081E-3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1.7550234791496007E-3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1.7760151664681203E-3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1.78712172886598E-3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1.7982282912638392E-3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1.8093348536616985E-3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1.820441416059558E-3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1.8315479784574173E-3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1.8390250623590463E-3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1.8465021462606751E-3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1.8539792301623041E-3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1.8614563140639331E-3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1.8689333979655619E-3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4.4752666788734619E-4</v>
      </c>
      <c r="C2" s="7">
        <f>$B2 * IFERROR(VLOOKUP("transport|NOx|Premature mortality", US_national_yearly!$D:$AM, 11, FALSE) / VLOOKUP("transport|NOx|Premature mortality", US_national_yearly!$D:$AM, 10, FALSE), 1)</f>
        <v>4.5410007820519626E-4</v>
      </c>
      <c r="D2" s="7">
        <f>$B2 * IFERROR(VLOOKUP("transport|NOx|Premature mortality", US_national_yearly!$D:$AM, 12, FALSE) / VLOOKUP("transport|NOx|Premature mortality", US_national_yearly!$D:$AM, 10, FALSE), 1)</f>
        <v>4.6067348852304617E-4</v>
      </c>
      <c r="E2" s="7">
        <f>$B2 * IFERROR(VLOOKUP("transport|NOx|Premature mortality", US_national_yearly!$D:$AM, 13, FALSE) / VLOOKUP("transport|NOx|Premature mortality", US_national_yearly!$D:$AM, 10, FALSE), 1)</f>
        <v>4.6724689884089624E-4</v>
      </c>
      <c r="F2" s="7">
        <f>$B2 * IFERROR(VLOOKUP("transport|NOx|Premature mortality", US_national_yearly!$D:$AM, 14, FALSE) / VLOOKUP("transport|NOx|Premature mortality", US_national_yearly!$D:$AM, 10, FALSE), 1)</f>
        <v>4.7382030915874631E-4</v>
      </c>
      <c r="G2" s="7">
        <f>$B2 * IFERROR(VLOOKUP("transport|NOx|Premature mortality", US_national_yearly!$D:$AM, 15, FALSE) / VLOOKUP("transport|NOx|Premature mortality", US_national_yearly!$D:$AM, 10, FALSE), 1)</f>
        <v>4.85627708202909E-4</v>
      </c>
      <c r="H2" s="7">
        <f>$B2 * IFERROR(VLOOKUP("transport|NOx|Premature mortality", US_national_yearly!$D:$AM, 16, FALSE) / VLOOKUP("transport|NOx|Premature mortality", US_national_yearly!$D:$AM, 10, FALSE), 1)</f>
        <v>4.9743510724707196E-4</v>
      </c>
      <c r="I2" s="7">
        <f>$B2 * IFERROR(VLOOKUP("transport|NOx|Premature mortality", US_national_yearly!$D:$AM, 17, FALSE) / VLOOKUP("transport|NOx|Premature mortality", US_national_yearly!$D:$AM, 10, FALSE), 1)</f>
        <v>5.0505700730032175E-4</v>
      </c>
      <c r="J2" s="7">
        <f>$B2 * IFERROR(VLOOKUP("transport|NOx|Premature mortality", US_national_yearly!$D:$AM, 18, FALSE) / VLOOKUP("transport|NOx|Premature mortality", US_national_yearly!$D:$AM, 10, FALSE), 1)</f>
        <v>5.1267890735357164E-4</v>
      </c>
      <c r="K2" s="7">
        <f>$B2 * IFERROR(VLOOKUP("transport|NOx|Premature mortality", US_national_yearly!$D:$AM, 19, FALSE) / VLOOKUP("transport|NOx|Premature mortality", US_national_yearly!$D:$AM, 10, FALSE), 1)</f>
        <v>5.2030080740682143E-4</v>
      </c>
      <c r="L2" s="7">
        <f>$B2 * IFERROR(VLOOKUP("transport|NOx|Premature mortality", US_national_yearly!$D:$AM, 20, FALSE) / VLOOKUP("transport|NOx|Premature mortality", US_national_yearly!$D:$AM, 10, FALSE), 1)</f>
        <v>5.2792270746007122E-4</v>
      </c>
      <c r="M2" s="7">
        <f>$B2 * IFERROR(VLOOKUP("transport|NOx|Premature mortality", US_national_yearly!$D:$AM, 21, FALSE) / VLOOKUP("transport|NOx|Premature mortality", US_national_yearly!$D:$AM, 10, FALSE), 1)</f>
        <v>5.35544607513321E-4</v>
      </c>
      <c r="N2" s="7">
        <f>$B2 * IFERROR(VLOOKUP("transport|NOx|Premature mortality", US_national_yearly!$D:$AM, 22, FALSE) / VLOOKUP("transport|NOx|Premature mortality", US_national_yearly!$D:$AM, 10, FALSE), 1)</f>
        <v>5.4119088144229902E-4</v>
      </c>
      <c r="O2" s="7">
        <f>$B2 * IFERROR(VLOOKUP("transport|NOx|Premature mortality", US_national_yearly!$D:$AM, 23, FALSE) / VLOOKUP("transport|NOx|Premature mortality", US_national_yearly!$D:$AM, 10, FALSE), 1)</f>
        <v>5.4683715537127693E-4</v>
      </c>
      <c r="P2" s="7">
        <f>$B2 * IFERROR(VLOOKUP("transport|NOx|Premature mortality", US_national_yearly!$D:$AM, 24, FALSE) / VLOOKUP("transport|NOx|Premature mortality", US_national_yearly!$D:$AM, 10, FALSE), 1)</f>
        <v>5.5248342930025484E-4</v>
      </c>
      <c r="Q2" s="7">
        <f>$B2 * IFERROR(VLOOKUP("transport|NOx|Premature mortality", US_national_yearly!$D:$AM, 25, FALSE) / VLOOKUP("transport|NOx|Premature mortality", US_national_yearly!$D:$AM, 10, FALSE), 1)</f>
        <v>5.5812970322923286E-4</v>
      </c>
      <c r="R2" s="7">
        <f>$B2 * IFERROR(VLOOKUP("transport|NOx|Premature mortality", US_national_yearly!$D:$AM, 26, FALSE) / VLOOKUP("transport|NOx|Premature mortality", US_national_yearly!$D:$AM, 10, FALSE), 1)</f>
        <v>5.6377597715821077E-4</v>
      </c>
      <c r="S2" s="7">
        <f>$B2 * IFERROR(VLOOKUP("transport|NOx|Premature mortality", US_national_yearly!$D:$AM, 27, FALSE) / VLOOKUP("transport|NOx|Premature mortality", US_national_yearly!$D:$AM, 10, FALSE), 1)</f>
        <v>5.6634226551615415E-4</v>
      </c>
      <c r="T2" s="7">
        <f>$B2 * IFERROR(VLOOKUP("transport|NOx|Premature mortality", US_national_yearly!$D:$AM, 28, FALSE) / VLOOKUP("transport|NOx|Premature mortality", US_national_yearly!$D:$AM, 10, FALSE), 1)</f>
        <v>5.6890855387409754E-4</v>
      </c>
      <c r="U2" s="7">
        <f>$B2 * IFERROR(VLOOKUP("transport|NOx|Premature mortality", US_national_yearly!$D:$AM, 29, FALSE) / VLOOKUP("transport|NOx|Premature mortality", US_national_yearly!$D:$AM, 10, FALSE), 1)</f>
        <v>5.7147484223204093E-4</v>
      </c>
      <c r="V2" s="7">
        <f>$B2 * IFERROR(VLOOKUP("transport|NOx|Premature mortality", US_national_yearly!$D:$AM, 30, FALSE) / VLOOKUP("transport|NOx|Premature mortality", US_national_yearly!$D:$AM, 10, FALSE), 1)</f>
        <v>5.7404113058998421E-4</v>
      </c>
      <c r="W2" s="7">
        <f>$B2 * IFERROR(VLOOKUP("transport|NOx|Premature mortality", US_national_yearly!$D:$AM, 31, FALSE) / VLOOKUP("transport|NOx|Premature mortality", US_national_yearly!$D:$AM, 10, FALSE), 1)</f>
        <v>5.766074189479277E-4</v>
      </c>
      <c r="X2" s="7">
        <f>$B2 * IFERROR(VLOOKUP("transport|NOx|Premature mortality", US_national_yearly!$D:$AM, 32, FALSE) / VLOOKUP("transport|NOx|Premature mortality", US_national_yearly!$D:$AM, 10, FALSE), 1)</f>
        <v>5.7669631370358559E-4</v>
      </c>
      <c r="Y2" s="7">
        <f>$B2 * IFERROR(VLOOKUP("transport|NOx|Premature mortality", US_national_yearly!$D:$AM, 33, FALSE) / VLOOKUP("transport|NOx|Premature mortality", US_national_yearly!$D:$AM, 10, FALSE), 1)</f>
        <v>5.7678520845924348E-4</v>
      </c>
      <c r="Z2" s="7">
        <f>$B2 * IFERROR(VLOOKUP("transport|NOx|Premature mortality", US_national_yearly!$D:$AM, 34, FALSE) / VLOOKUP("transport|NOx|Premature mortality", US_national_yearly!$D:$AM, 10, FALSE), 1)</f>
        <v>5.7687410321490115E-4</v>
      </c>
      <c r="AA2" s="7">
        <f>$B2 * IFERROR(VLOOKUP("transport|NOx|Premature mortality", US_national_yearly!$D:$AM, 35, FALSE) / VLOOKUP("transport|NOx|Premature mortality", US_national_yearly!$D:$AM, 10, FALSE), 1)</f>
        <v>5.7696299797055915E-4</v>
      </c>
      <c r="AB2" s="7">
        <f>$B2 * IFERROR(VLOOKUP("transport|NOx|Premature mortality", US_national_yearly!$D:$AM, 36, FALSE) / VLOOKUP("transport|NOx|Premature mortality", US_national_yearly!$D:$AM, 10, FALSE), 1)</f>
        <v>5.7705189272621703E-4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5.9400702058487064E-7</v>
      </c>
      <c r="C3" s="7">
        <f>$B3 * IFERROR(VLOOKUP("transport|NOx|Infant mortality", US_national_yearly!$D:$AM, 11, FALSE) / VLOOKUP("transport|NOx|Infant mortality", US_national_yearly!$D:$AM, 10, FALSE), 1)</f>
        <v>5.883475900873834E-7</v>
      </c>
      <c r="D3" s="7">
        <f>$B3 * IFERROR(VLOOKUP("transport|NOx|Infant mortality", US_national_yearly!$D:$AM, 12, FALSE) / VLOOKUP("transport|NOx|Infant mortality", US_national_yearly!$D:$AM, 10, FALSE), 1)</f>
        <v>5.8268815958989606E-7</v>
      </c>
      <c r="E3" s="7">
        <f>$B3 * IFERROR(VLOOKUP("transport|NOx|Infant mortality", US_national_yearly!$D:$AM, 13, FALSE) / VLOOKUP("transport|NOx|Infant mortality", US_national_yearly!$D:$AM, 10, FALSE), 1)</f>
        <v>5.7702872909240872E-7</v>
      </c>
      <c r="F3" s="7">
        <f>$B3 * IFERROR(VLOOKUP("transport|NOx|Infant mortality", US_national_yearly!$D:$AM, 14, FALSE) / VLOOKUP("transport|NOx|Infant mortality", US_national_yearly!$D:$AM, 10, FALSE), 1)</f>
        <v>5.7136929859492149E-7</v>
      </c>
      <c r="G3" s="7">
        <f>$B3 * IFERROR(VLOOKUP("transport|NOx|Infant mortality", US_national_yearly!$D:$AM, 15, FALSE) / VLOOKUP("transport|NOx|Infant mortality", US_national_yearly!$D:$AM, 10, FALSE), 1)</f>
        <v>3.7930315518472616E-7</v>
      </c>
      <c r="H3" s="7">
        <f>$B3 * IFERROR(VLOOKUP("transport|NOx|Infant mortality", US_national_yearly!$D:$AM, 16, FALSE) / VLOOKUP("transport|NOx|Infant mortality", US_national_yearly!$D:$AM, 10, FALSE), 1)</f>
        <v>1.872370117745308E-7</v>
      </c>
      <c r="I3" s="7">
        <f>$B3 * IFERROR(VLOOKUP("transport|NOx|Infant mortality", US_national_yearly!$D:$AM, 17, FALSE) / VLOOKUP("transport|NOx|Infant mortality", US_national_yearly!$D:$AM, 10, FALSE), 1)</f>
        <v>1.8591306732665755E-7</v>
      </c>
      <c r="J3" s="7">
        <f>$B3 * IFERROR(VLOOKUP("transport|NOx|Infant mortality", US_national_yearly!$D:$AM, 18, FALSE) / VLOOKUP("transport|NOx|Infant mortality", US_national_yearly!$D:$AM, 10, FALSE), 1)</f>
        <v>1.8458912287878425E-7</v>
      </c>
      <c r="K3" s="7">
        <f>$B3 * IFERROR(VLOOKUP("transport|NOx|Infant mortality", US_national_yearly!$D:$AM, 19, FALSE) / VLOOKUP("transport|NOx|Infant mortality", US_national_yearly!$D:$AM, 10, FALSE), 1)</f>
        <v>1.8326517843091097E-7</v>
      </c>
      <c r="L3" s="7">
        <f>$B3 * IFERROR(VLOOKUP("transport|NOx|Infant mortality", US_national_yearly!$D:$AM, 20, FALSE) / VLOOKUP("transport|NOx|Infant mortality", US_national_yearly!$D:$AM, 10, FALSE), 1)</f>
        <v>1.8194123398303769E-7</v>
      </c>
      <c r="M3" s="7">
        <f>$B3 * IFERROR(VLOOKUP("transport|NOx|Infant mortality", US_national_yearly!$D:$AM, 21, FALSE) / VLOOKUP("transport|NOx|Infant mortality", US_national_yearly!$D:$AM, 10, FALSE), 1)</f>
        <v>1.8061728953516439E-7</v>
      </c>
      <c r="N3" s="7">
        <f>$B3 * IFERROR(VLOOKUP("transport|NOx|Infant mortality", US_national_yearly!$D:$AM, 22, FALSE) / VLOOKUP("transport|NOx|Infant mortality", US_national_yearly!$D:$AM, 10, FALSE), 1)</f>
        <v>1.7973851056807296E-7</v>
      </c>
      <c r="O3" s="7">
        <f>$B3 * IFERROR(VLOOKUP("transport|NOx|Infant mortality", US_national_yearly!$D:$AM, 23, FALSE) / VLOOKUP("transport|NOx|Infant mortality", US_national_yearly!$D:$AM, 10, FALSE), 1)</f>
        <v>1.7885973160098155E-7</v>
      </c>
      <c r="P3" s="7">
        <f>$B3 * IFERROR(VLOOKUP("transport|NOx|Infant mortality", US_national_yearly!$D:$AM, 24, FALSE) / VLOOKUP("transport|NOx|Infant mortality", US_national_yearly!$D:$AM, 10, FALSE), 1)</f>
        <v>1.7798095263389015E-7</v>
      </c>
      <c r="Q3" s="7">
        <f>$B3 * IFERROR(VLOOKUP("transport|NOx|Infant mortality", US_national_yearly!$D:$AM, 25, FALSE) / VLOOKUP("transport|NOx|Infant mortality", US_national_yearly!$D:$AM, 10, FALSE), 1)</f>
        <v>1.7710217366679872E-7</v>
      </c>
      <c r="R3" s="7">
        <f>$B3 * IFERROR(VLOOKUP("transport|NOx|Infant mortality", US_national_yearly!$D:$AM, 26, FALSE) / VLOOKUP("transport|NOx|Infant mortality", US_national_yearly!$D:$AM, 10, FALSE), 1)</f>
        <v>1.7622339469970732E-7</v>
      </c>
      <c r="S3" s="7">
        <f>$B3 * IFERROR(VLOOKUP("transport|NOx|Infant mortality", US_national_yearly!$D:$AM, 27, FALSE) / VLOOKUP("transport|NOx|Infant mortality", US_national_yearly!$D:$AM, 10, FALSE), 1)</f>
        <v>1.751669626344701E-7</v>
      </c>
      <c r="T3" s="7">
        <f>$B3 * IFERROR(VLOOKUP("transport|NOx|Infant mortality", US_national_yearly!$D:$AM, 28, FALSE) / VLOOKUP("transport|NOx|Infant mortality", US_national_yearly!$D:$AM, 10, FALSE), 1)</f>
        <v>1.7411053056923288E-7</v>
      </c>
      <c r="U3" s="7">
        <f>$B3 * IFERROR(VLOOKUP("transport|NOx|Infant mortality", US_national_yearly!$D:$AM, 29, FALSE) / VLOOKUP("transport|NOx|Infant mortality", US_national_yearly!$D:$AM, 10, FALSE), 1)</f>
        <v>1.7305409850399566E-7</v>
      </c>
      <c r="V3" s="7">
        <f>$B3 * IFERROR(VLOOKUP("transport|NOx|Infant mortality", US_national_yearly!$D:$AM, 30, FALSE) / VLOOKUP("transport|NOx|Infant mortality", US_national_yearly!$D:$AM, 10, FALSE), 1)</f>
        <v>1.7199766643875844E-7</v>
      </c>
      <c r="W3" s="7">
        <f>$B3 * IFERROR(VLOOKUP("transport|NOx|Infant mortality", US_national_yearly!$D:$AM, 31, FALSE) / VLOOKUP("transport|NOx|Infant mortality", US_national_yearly!$D:$AM, 10, FALSE), 1)</f>
        <v>1.7094123437352125E-7</v>
      </c>
      <c r="X3" s="7">
        <f>$B3 * IFERROR(VLOOKUP("transport|NOx|Infant mortality", US_national_yearly!$D:$AM, 32, FALSE) / VLOOKUP("transport|NOx|Infant mortality", US_national_yearly!$D:$AM, 10, FALSE), 1)</f>
        <v>1.6982242172946545E-7</v>
      </c>
      <c r="Y3" s="7">
        <f>$B3 * IFERROR(VLOOKUP("transport|NOx|Infant mortality", US_national_yearly!$D:$AM, 33, FALSE) / VLOOKUP("transport|NOx|Infant mortality", US_national_yearly!$D:$AM, 10, FALSE), 1)</f>
        <v>1.6870360908540965E-7</v>
      </c>
      <c r="Z3" s="7">
        <f>$B3 * IFERROR(VLOOKUP("transport|NOx|Infant mortality", US_national_yearly!$D:$AM, 34, FALSE) / VLOOKUP("transport|NOx|Infant mortality", US_national_yearly!$D:$AM, 10, FALSE), 1)</f>
        <v>1.6758479644135383E-7</v>
      </c>
      <c r="AA3" s="7">
        <f>$B3 * IFERROR(VLOOKUP("transport|NOx|Infant mortality", US_national_yearly!$D:$AM, 35, FALSE) / VLOOKUP("transport|NOx|Infant mortality", US_national_yearly!$D:$AM, 10, FALSE), 1)</f>
        <v>1.66465983797298E-7</v>
      </c>
      <c r="AB3" s="7">
        <f>$B3 * IFERROR(VLOOKUP("transport|NOx|Infant mortality", US_national_yearly!$D:$AM, 36, FALSE) / VLOOKUP("transport|NOx|Infant mortality", US_national_yearly!$D:$AM, 10, FALSE), 1)</f>
        <v>1.653471711532422E-7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8.8451298292150087E-4</v>
      </c>
      <c r="C6" s="7">
        <f>$B6 * IFERROR(VLOOKUP("transport|NOx|Asthma symptoms cough", US_national_yearly!$D:$AM, 11, FALSE) / VLOOKUP("transport|NOx|Asthma symptoms cough", US_national_yearly!$D:$AM, 10, FALSE), 1)</f>
        <v>8.9660572151952064E-4</v>
      </c>
      <c r="D6" s="7">
        <f>$B6 * IFERROR(VLOOKUP("transport|NOx|Asthma symptoms cough", US_national_yearly!$D:$AM, 12, FALSE) / VLOOKUP("transport|NOx|Asthma symptoms cough", US_national_yearly!$D:$AM, 10, FALSE), 1)</f>
        <v>9.0869846011754042E-4</v>
      </c>
      <c r="E6" s="7">
        <f>$B6 * IFERROR(VLOOKUP("transport|NOx|Asthma symptoms cough", US_national_yearly!$D:$AM, 13, FALSE) / VLOOKUP("transport|NOx|Asthma symptoms cough", US_national_yearly!$D:$AM, 10, FALSE), 1)</f>
        <v>9.207911987155603E-4</v>
      </c>
      <c r="F6" s="7">
        <f>$B6 * IFERROR(VLOOKUP("transport|NOx|Asthma symptoms cough", US_national_yearly!$D:$AM, 14, FALSE) / VLOOKUP("transport|NOx|Asthma symptoms cough", US_national_yearly!$D:$AM, 10, FALSE), 1)</f>
        <v>9.3288393731358007E-4</v>
      </c>
      <c r="G6" s="7">
        <f>$B6 * IFERROR(VLOOKUP("transport|NOx|Asthma symptoms cough", US_national_yearly!$D:$AM, 15, FALSE) / VLOOKUP("transport|NOx|Asthma symptoms cough", US_national_yearly!$D:$AM, 10, FALSE), 1)</f>
        <v>9.4253829923804508E-4</v>
      </c>
      <c r="H6" s="7">
        <f>$B6 * IFERROR(VLOOKUP("transport|NOx|Asthma symptoms cough", US_national_yearly!$D:$AM, 16, FALSE) / VLOOKUP("transport|NOx|Asthma symptoms cough", US_national_yearly!$D:$AM, 10, FALSE), 1)</f>
        <v>9.521926611625103E-4</v>
      </c>
      <c r="I6" s="7">
        <f>$B6 * IFERROR(VLOOKUP("transport|NOx|Asthma symptoms cough", US_national_yearly!$D:$AM, 17, FALSE) / VLOOKUP("transport|NOx|Asthma symptoms cough", US_national_yearly!$D:$AM, 10, FALSE), 1)</f>
        <v>9.5551555452055392E-4</v>
      </c>
      <c r="J6" s="7">
        <f>$B6 * IFERROR(VLOOKUP("transport|NOx|Asthma symptoms cough", US_national_yearly!$D:$AM, 18, FALSE) / VLOOKUP("transport|NOx|Asthma symptoms cough", US_national_yearly!$D:$AM, 10, FALSE), 1)</f>
        <v>9.5883844787859787E-4</v>
      </c>
      <c r="K6" s="7">
        <f>$B6 * IFERROR(VLOOKUP("transport|NOx|Asthma symptoms cough", US_national_yearly!$D:$AM, 19, FALSE) / VLOOKUP("transport|NOx|Asthma symptoms cough", US_national_yearly!$D:$AM, 10, FALSE), 1)</f>
        <v>9.621613412366416E-4</v>
      </c>
      <c r="L6" s="7">
        <f>$B6 * IFERROR(VLOOKUP("transport|NOx|Asthma symptoms cough", US_national_yearly!$D:$AM, 20, FALSE) / VLOOKUP("transport|NOx|Asthma symptoms cough", US_national_yearly!$D:$AM, 10, FALSE), 1)</f>
        <v>9.6548423459468533E-4</v>
      </c>
      <c r="M6" s="7">
        <f>$B6 * IFERROR(VLOOKUP("transport|NOx|Asthma symptoms cough", US_national_yearly!$D:$AM, 21, FALSE) / VLOOKUP("transport|NOx|Asthma symptoms cough", US_national_yearly!$D:$AM, 10, FALSE), 1)</f>
        <v>9.6880712795272927E-4</v>
      </c>
      <c r="N6" s="7">
        <f>$B6 * IFERROR(VLOOKUP("transport|NOx|Asthma symptoms cough", US_national_yearly!$D:$AM, 22, FALSE) / VLOOKUP("transport|NOx|Asthma symptoms cough", US_national_yearly!$D:$AM, 10, FALSE), 1)</f>
        <v>9.7266027024817657E-4</v>
      </c>
      <c r="O6" s="7">
        <f>$B6 * IFERROR(VLOOKUP("transport|NOx|Asthma symptoms cough", US_national_yearly!$D:$AM, 23, FALSE) / VLOOKUP("transport|NOx|Asthma symptoms cough", US_national_yearly!$D:$AM, 10, FALSE), 1)</f>
        <v>9.7651341254362397E-4</v>
      </c>
      <c r="P6" s="7">
        <f>$B6 * IFERROR(VLOOKUP("transport|NOx|Asthma symptoms cough", US_national_yearly!$D:$AM, 24, FALSE) / VLOOKUP("transport|NOx|Asthma symptoms cough", US_national_yearly!$D:$AM, 10, FALSE), 1)</f>
        <v>9.8036655483907127E-4</v>
      </c>
      <c r="Q6" s="7">
        <f>$B6 * IFERROR(VLOOKUP("transport|NOx|Asthma symptoms cough", US_national_yearly!$D:$AM, 25, FALSE) / VLOOKUP("transport|NOx|Asthma symptoms cough", US_national_yearly!$D:$AM, 10, FALSE), 1)</f>
        <v>9.8421969713451888E-4</v>
      </c>
      <c r="R6" s="7">
        <f>$B6 * IFERROR(VLOOKUP("transport|NOx|Asthma symptoms cough", US_national_yearly!$D:$AM, 26, FALSE) / VLOOKUP("transport|NOx|Asthma symptoms cough", US_national_yearly!$D:$AM, 10, FALSE), 1)</f>
        <v>9.8807283942996629E-4</v>
      </c>
      <c r="S6" s="7">
        <f>$B6 * IFERROR(VLOOKUP("transport|NOx|Asthma symptoms cough", US_national_yearly!$D:$AM, 27, FALSE) / VLOOKUP("transport|NOx|Asthma symptoms cough", US_national_yearly!$D:$AM, 10, FALSE), 1)</f>
        <v>9.9310627048454806E-4</v>
      </c>
      <c r="T6" s="7">
        <f>$B6 * IFERROR(VLOOKUP("transport|NOx|Asthma symptoms cough", US_national_yearly!$D:$AM, 28, FALSE) / VLOOKUP("transport|NOx|Asthma symptoms cough", US_national_yearly!$D:$AM, 10, FALSE), 1)</f>
        <v>9.9813970153912962E-4</v>
      </c>
      <c r="U6" s="7">
        <f>$B6 * IFERROR(VLOOKUP("transport|NOx|Asthma symptoms cough", US_national_yearly!$D:$AM, 29, FALSE) / VLOOKUP("transport|NOx|Asthma symptoms cough", US_national_yearly!$D:$AM, 10, FALSE), 1)</f>
        <v>1.003173132593711E-3</v>
      </c>
      <c r="V6" s="7">
        <f>$B6 * IFERROR(VLOOKUP("transport|NOx|Asthma symptoms cough", US_national_yearly!$D:$AM, 30, FALSE) / VLOOKUP("transport|NOx|Asthma symptoms cough", US_national_yearly!$D:$AM, 10, FALSE), 1)</f>
        <v>1.0082065636482927E-3</v>
      </c>
      <c r="W6" s="7">
        <f>$B6 * IFERROR(VLOOKUP("transport|NOx|Asthma symptoms cough", US_national_yearly!$D:$AM, 31, FALSE) / VLOOKUP("transport|NOx|Asthma symptoms cough", US_national_yearly!$D:$AM, 10, FALSE), 1)</f>
        <v>1.0132399947028743E-3</v>
      </c>
      <c r="X6" s="7">
        <f>$B6 * IFERROR(VLOOKUP("transport|NOx|Asthma symptoms cough", US_national_yearly!$D:$AM, 32, FALSE) / VLOOKUP("transport|NOx|Asthma symptoms cough", US_national_yearly!$D:$AM, 10, FALSE), 1)</f>
        <v>1.0179167753838784E-3</v>
      </c>
      <c r="Y6" s="7">
        <f>$B6 * IFERROR(VLOOKUP("transport|NOx|Asthma symptoms cough", US_national_yearly!$D:$AM, 33, FALSE) / VLOOKUP("transport|NOx|Asthma symptoms cough", US_national_yearly!$D:$AM, 10, FALSE), 1)</f>
        <v>1.0225935560648828E-3</v>
      </c>
      <c r="Z6" s="7">
        <f>$B6 * IFERROR(VLOOKUP("transport|NOx|Asthma symptoms cough", US_national_yearly!$D:$AM, 34, FALSE) / VLOOKUP("transport|NOx|Asthma symptoms cough", US_national_yearly!$D:$AM, 10, FALSE), 1)</f>
        <v>1.0272703367458869E-3</v>
      </c>
      <c r="AA6" s="7">
        <f>$B6 * IFERROR(VLOOKUP("transport|NOx|Asthma symptoms cough", US_national_yearly!$D:$AM, 35, FALSE) / VLOOKUP("transport|NOx|Asthma symptoms cough", US_national_yearly!$D:$AM, 10, FALSE), 1)</f>
        <v>1.031947117426891E-3</v>
      </c>
      <c r="AB6" s="7">
        <f>$B6 * IFERROR(VLOOKUP("transport|NOx|Asthma symptoms cough", US_national_yearly!$D:$AM, 36, FALSE) / VLOOKUP("transport|NOx|Asthma symptoms cough", US_national_yearly!$D:$AM, 10, FALSE), 1)</f>
        <v>1.0366238981078955E-3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1.1911173086190825E-3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1.2074018296148784E-3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1.2236863506106738E-3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1.2399708716064697E-3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1.2562553926022655E-3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1.2692563069980436E-3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1.2822572213938216E-3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1.2867319502487306E-3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1.2912066791036392E-3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1.2956814079585482E-3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1.3001561368134568E-3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1.3046308656683657E-3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1.3098196470140372E-3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1.3150084283597089E-3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1.3201972097053802E-3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1.3253859910510519E-3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1.3305747723967234E-3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1.3373529734677784E-3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1.3441311745388336E-3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1.3509093756098886E-3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1.3576875766809432E-3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1.3644657777519983E-3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1.3707637004723918E-3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1.3770616231927853E-3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1.3833595459131793E-3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1.3896574686335728E-3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1.3959553913539663E-3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1.819853094085245E-3</v>
      </c>
      <c r="C8" s="7">
        <f>$B8 * IFERROR(VLOOKUP("transport|NOx|Asthma symptoms wheeze", US_national_yearly!$D:$AM, 11, FALSE) / VLOOKUP("transport|NOx|Asthma symptoms wheeze", US_national_yearly!$D:$AM, 10, FALSE), 1)</f>
        <v>1.84473346125773E-3</v>
      </c>
      <c r="D8" s="7">
        <f>$B8 * IFERROR(VLOOKUP("transport|NOx|Asthma symptoms wheeze", US_national_yearly!$D:$AM, 12, FALSE) / VLOOKUP("transport|NOx|Asthma symptoms wheeze", US_national_yearly!$D:$AM, 10, FALSE), 1)</f>
        <v>1.8696138284302159E-3</v>
      </c>
      <c r="E8" s="7">
        <f>$B8 * IFERROR(VLOOKUP("transport|NOx|Asthma symptoms wheeze", US_national_yearly!$D:$AM, 13, FALSE) / VLOOKUP("transport|NOx|Asthma symptoms wheeze", US_national_yearly!$D:$AM, 10, FALSE), 1)</f>
        <v>1.8944941956027007E-3</v>
      </c>
      <c r="F8" s="7">
        <f>$B8 * IFERROR(VLOOKUP("transport|NOx|Asthma symptoms wheeze", US_national_yearly!$D:$AM, 14, FALSE) / VLOOKUP("transport|NOx|Asthma symptoms wheeze", US_national_yearly!$D:$AM, 10, FALSE), 1)</f>
        <v>1.9193745627751858E-3</v>
      </c>
      <c r="G8" s="7">
        <f>$B8 * IFERROR(VLOOKUP("transport|NOx|Asthma symptoms wheeze", US_national_yearly!$D:$AM, 15, FALSE) / VLOOKUP("transport|NOx|Asthma symptoms wheeze", US_national_yearly!$D:$AM, 10, FALSE), 1)</f>
        <v>1.9392380591807918E-3</v>
      </c>
      <c r="H8" s="7">
        <f>$B8 * IFERROR(VLOOKUP("transport|NOx|Asthma symptoms wheeze", US_national_yearly!$D:$AM, 16, FALSE) / VLOOKUP("transport|NOx|Asthma symptoms wheeze", US_national_yearly!$D:$AM, 10, FALSE), 1)</f>
        <v>1.9591015555863976E-3</v>
      </c>
      <c r="I8" s="7">
        <f>$B8 * IFERROR(VLOOKUP("transport|NOx|Asthma symptoms wheeze", US_national_yearly!$D:$AM, 17, FALSE) / VLOOKUP("transport|NOx|Asthma symptoms wheeze", US_national_yearly!$D:$AM, 10, FALSE), 1)</f>
        <v>1.9659382871108524E-3</v>
      </c>
      <c r="J8" s="7">
        <f>$B8 * IFERROR(VLOOKUP("transport|NOx|Asthma symptoms wheeze", US_national_yearly!$D:$AM, 18, FALSE) / VLOOKUP("transport|NOx|Asthma symptoms wheeze", US_national_yearly!$D:$AM, 10, FALSE), 1)</f>
        <v>1.9727750186353077E-3</v>
      </c>
      <c r="K8" s="7">
        <f>$B8 * IFERROR(VLOOKUP("transport|NOx|Asthma symptoms wheeze", US_national_yearly!$D:$AM, 19, FALSE) / VLOOKUP("transport|NOx|Asthma symptoms wheeze", US_national_yearly!$D:$AM, 10, FALSE), 1)</f>
        <v>1.979611750159762E-3</v>
      </c>
      <c r="L8" s="7">
        <f>$B8 * IFERROR(VLOOKUP("transport|NOx|Asthma symptoms wheeze", US_national_yearly!$D:$AM, 20, FALSE) / VLOOKUP("transport|NOx|Asthma symptoms wheeze", US_national_yearly!$D:$AM, 10, FALSE), 1)</f>
        <v>1.9864484816842173E-3</v>
      </c>
      <c r="M8" s="7">
        <f>$B8 * IFERROR(VLOOKUP("transport|NOx|Asthma symptoms wheeze", US_national_yearly!$D:$AM, 21, FALSE) / VLOOKUP("transport|NOx|Asthma symptoms wheeze", US_national_yearly!$D:$AM, 10, FALSE), 1)</f>
        <v>1.9932852132086721E-3</v>
      </c>
      <c r="N8" s="7">
        <f>$B8 * IFERROR(VLOOKUP("transport|NOx|Asthma symptoms wheeze", US_national_yearly!$D:$AM, 22, FALSE) / VLOOKUP("transport|NOx|Asthma symptoms wheeze", US_national_yearly!$D:$AM, 10, FALSE), 1)</f>
        <v>2.0012129125271702E-3</v>
      </c>
      <c r="O8" s="7">
        <f>$B8 * IFERROR(VLOOKUP("transport|NOx|Asthma symptoms wheeze", US_national_yearly!$D:$AM, 23, FALSE) / VLOOKUP("transport|NOx|Asthma symptoms wheeze", US_national_yearly!$D:$AM, 10, FALSE), 1)</f>
        <v>2.0091406118456687E-3</v>
      </c>
      <c r="P8" s="7">
        <f>$B8 * IFERROR(VLOOKUP("transport|NOx|Asthma symptoms wheeze", US_national_yearly!$D:$AM, 24, FALSE) / VLOOKUP("transport|NOx|Asthma symptoms wheeze", US_national_yearly!$D:$AM, 10, FALSE), 1)</f>
        <v>2.0170683111641672E-3</v>
      </c>
      <c r="Q8" s="7">
        <f>$B8 * IFERROR(VLOOKUP("transport|NOx|Asthma symptoms wheeze", US_national_yearly!$D:$AM, 25, FALSE) / VLOOKUP("transport|NOx|Asthma symptoms wheeze", US_national_yearly!$D:$AM, 10, FALSE), 1)</f>
        <v>2.0249960104826658E-3</v>
      </c>
      <c r="R8" s="7">
        <f>$B8 * IFERROR(VLOOKUP("transport|NOx|Asthma symptoms wheeze", US_national_yearly!$D:$AM, 26, FALSE) / VLOOKUP("transport|NOx|Asthma symptoms wheeze", US_national_yearly!$D:$AM, 10, FALSE), 1)</f>
        <v>2.0329237098011639E-3</v>
      </c>
      <c r="S8" s="7">
        <f>$B8 * IFERROR(VLOOKUP("transport|NOx|Asthma symptoms wheeze", US_national_yearly!$D:$AM, 27, FALSE) / VLOOKUP("transport|NOx|Asthma symptoms wheeze", US_national_yearly!$D:$AM, 10, FALSE), 1)</f>
        <v>2.043279810058511E-3</v>
      </c>
      <c r="T8" s="7">
        <f>$B8 * IFERROR(VLOOKUP("transport|NOx|Asthma symptoms wheeze", US_national_yearly!$D:$AM, 28, FALSE) / VLOOKUP("transport|NOx|Asthma symptoms wheeze", US_national_yearly!$D:$AM, 10, FALSE), 1)</f>
        <v>2.0536359103158581E-3</v>
      </c>
      <c r="U8" s="7">
        <f>$B8 * IFERROR(VLOOKUP("transport|NOx|Asthma symptoms wheeze", US_national_yearly!$D:$AM, 29, FALSE) / VLOOKUP("transport|NOx|Asthma symptoms wheeze", US_national_yearly!$D:$AM, 10, FALSE), 1)</f>
        <v>2.0639920105732052E-3</v>
      </c>
      <c r="V8" s="7">
        <f>$B8 * IFERROR(VLOOKUP("transport|NOx|Asthma symptoms wheeze", US_national_yearly!$D:$AM, 30, FALSE) / VLOOKUP("transport|NOx|Asthma symptoms wheeze", US_national_yearly!$D:$AM, 10, FALSE), 1)</f>
        <v>2.0743481108305528E-3</v>
      </c>
      <c r="W8" s="7">
        <f>$B8 * IFERROR(VLOOKUP("transport|NOx|Asthma symptoms wheeze", US_national_yearly!$D:$AM, 31, FALSE) / VLOOKUP("transport|NOx|Asthma symptoms wheeze", US_national_yearly!$D:$AM, 10, FALSE), 1)</f>
        <v>2.0847042110878995E-3</v>
      </c>
      <c r="X8" s="7">
        <f>$B8 * IFERROR(VLOOKUP("transport|NOx|Asthma symptoms wheeze", US_national_yearly!$D:$AM, 32, FALSE) / VLOOKUP("transport|NOx|Asthma symptoms wheeze", US_national_yearly!$D:$AM, 10, FALSE), 1)</f>
        <v>2.0943265162456431E-3</v>
      </c>
      <c r="Y8" s="7">
        <f>$B8 * IFERROR(VLOOKUP("transport|NOx|Asthma symptoms wheeze", US_national_yearly!$D:$AM, 33, FALSE) / VLOOKUP("transport|NOx|Asthma symptoms wheeze", US_national_yearly!$D:$AM, 10, FALSE), 1)</f>
        <v>2.1039488214033863E-3</v>
      </c>
      <c r="Z8" s="7">
        <f>$B8 * IFERROR(VLOOKUP("transport|NOx|Asthma symptoms wheeze", US_national_yearly!$D:$AM, 34, FALSE) / VLOOKUP("transport|NOx|Asthma symptoms wheeze", US_national_yearly!$D:$AM, 10, FALSE), 1)</f>
        <v>2.1135711265611304E-3</v>
      </c>
      <c r="AA8" s="7">
        <f>$B8 * IFERROR(VLOOKUP("transport|NOx|Asthma symptoms wheeze", US_national_yearly!$D:$AM, 35, FALSE) / VLOOKUP("transport|NOx|Asthma symptoms wheeze", US_national_yearly!$D:$AM, 10, FALSE), 1)</f>
        <v>2.1231934317188735E-3</v>
      </c>
      <c r="AB8" s="7">
        <f>$B8 * IFERROR(VLOOKUP("transport|NOx|Asthma symptoms wheeze", US_national_yearly!$D:$AM, 36, FALSE) / VLOOKUP("transport|NOx|Asthma symptoms wheeze", US_national_yearly!$D:$AM, 10, FALSE), 1)</f>
        <v>2.1328157368766172E-3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3.3234322960155093E-5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3.4063342003013829E-5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3.4892361045872572E-5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3.5721380088731314E-5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3.6550399131590057E-5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3.7342969553012483E-5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3.8135539974434903E-5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3.8808448555821479E-5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3.9481357137208048E-5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4.0154265718594625E-5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4.0827174299981201E-5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4.1500082881367777E-5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4.194993438344719E-5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4.2399785885526616E-5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4.2849637387606043E-5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4.3299488889685469E-5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4.3749340391764889E-5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4.3990358637015299E-5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4.4231376882265702E-5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4.4472395127516112E-5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4.4713413372766508E-5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4.4954431618016925E-5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4.5119136276402333E-5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4.5283840934787754E-5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4.5448545593173175E-5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4.5613250251558596E-5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4.5777954909944011E-5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1.9583584517335597E-4</v>
      </c>
      <c r="C13" s="7">
        <f>$B13 * IFERROR(VLOOKUP("transport|NOx|Non-fatal heart attacks", US_national_yearly!$D:$AM, 11, FALSE) / VLOOKUP("transport|NOx|Non-fatal heart attacks", US_national_yearly!$D:$AM, 10, FALSE), 1)</f>
        <v>2.0143461944447402E-4</v>
      </c>
      <c r="D13" s="7">
        <f>$B13 * IFERROR(VLOOKUP("transport|NOx|Non-fatal heart attacks", US_national_yearly!$D:$AM, 12, FALSE) / VLOOKUP("transport|NOx|Non-fatal heart attacks", US_national_yearly!$D:$AM, 10, FALSE), 1)</f>
        <v>2.0703339371559205E-4</v>
      </c>
      <c r="E13" s="7">
        <f>$B13 * IFERROR(VLOOKUP("transport|NOx|Non-fatal heart attacks", US_national_yearly!$D:$AM, 13, FALSE) / VLOOKUP("transport|NOx|Non-fatal heart attacks", US_national_yearly!$D:$AM, 10, FALSE), 1)</f>
        <v>2.1263216798671005E-4</v>
      </c>
      <c r="F13" s="7">
        <f>$B13 * IFERROR(VLOOKUP("transport|NOx|Non-fatal heart attacks", US_national_yearly!$D:$AM, 14, FALSE) / VLOOKUP("transport|NOx|Non-fatal heart attacks", US_national_yearly!$D:$AM, 10, FALSE), 1)</f>
        <v>2.1823094225782811E-4</v>
      </c>
      <c r="G13" s="7">
        <f>$B13 * IFERROR(VLOOKUP("transport|NOx|Non-fatal heart attacks", US_national_yearly!$D:$AM, 15, FALSE) / VLOOKUP("transport|NOx|Non-fatal heart attacks", US_national_yearly!$D:$AM, 10, FALSE), 1)</f>
        <v>2.2346298517799155E-4</v>
      </c>
      <c r="H13" s="7">
        <f>$B13 * IFERROR(VLOOKUP("transport|NOx|Non-fatal heart attacks", US_national_yearly!$D:$AM, 16, FALSE) / VLOOKUP("transport|NOx|Non-fatal heart attacks", US_national_yearly!$D:$AM, 10, FALSE), 1)</f>
        <v>2.2869502809815499E-4</v>
      </c>
      <c r="I13" s="7">
        <f>$B13 * IFERROR(VLOOKUP("transport|NOx|Non-fatal heart attacks", US_national_yearly!$D:$AM, 17, FALSE) / VLOOKUP("transport|NOx|Non-fatal heart attacks", US_national_yearly!$D:$AM, 10, FALSE), 1)</f>
        <v>2.3281989586109266E-4</v>
      </c>
      <c r="J13" s="7">
        <f>$B13 * IFERROR(VLOOKUP("transport|NOx|Non-fatal heart attacks", US_national_yearly!$D:$AM, 18, FALSE) / VLOOKUP("transport|NOx|Non-fatal heart attacks", US_national_yearly!$D:$AM, 10, FALSE), 1)</f>
        <v>2.3694476362403036E-4</v>
      </c>
      <c r="K13" s="7">
        <f>$B13 * IFERROR(VLOOKUP("transport|NOx|Non-fatal heart attacks", US_national_yearly!$D:$AM, 19, FALSE) / VLOOKUP("transport|NOx|Non-fatal heart attacks", US_national_yearly!$D:$AM, 10, FALSE), 1)</f>
        <v>2.4106963138696789E-4</v>
      </c>
      <c r="L13" s="7">
        <f>$B13 * IFERROR(VLOOKUP("transport|NOx|Non-fatal heart attacks", US_national_yearly!$D:$AM, 20, FALSE) / VLOOKUP("transport|NOx|Non-fatal heart attacks", US_national_yearly!$D:$AM, 10, FALSE), 1)</f>
        <v>2.4519449914990572E-4</v>
      </c>
      <c r="M13" s="7">
        <f>$B13 * IFERROR(VLOOKUP("transport|NOx|Non-fatal heart attacks", US_national_yearly!$D:$AM, 21, FALSE) / VLOOKUP("transport|NOx|Non-fatal heart attacks", US_national_yearly!$D:$AM, 10, FALSE), 1)</f>
        <v>2.4931936691284333E-4</v>
      </c>
      <c r="N13" s="7">
        <f>$B13 * IFERROR(VLOOKUP("transport|NOx|Non-fatal heart attacks", US_national_yearly!$D:$AM, 22, FALSE) / VLOOKUP("transport|NOx|Non-fatal heart attacks", US_national_yearly!$D:$AM, 10, FALSE), 1)</f>
        <v>2.5180101245214951E-4</v>
      </c>
      <c r="O13" s="7">
        <f>$B13 * IFERROR(VLOOKUP("transport|NOx|Non-fatal heart attacks", US_national_yearly!$D:$AM, 23, FALSE) / VLOOKUP("transport|NOx|Non-fatal heart attacks", US_national_yearly!$D:$AM, 10, FALSE), 1)</f>
        <v>2.5428265799145569E-4</v>
      </c>
      <c r="P13" s="7">
        <f>$B13 * IFERROR(VLOOKUP("transport|NOx|Non-fatal heart attacks", US_national_yearly!$D:$AM, 24, FALSE) / VLOOKUP("transport|NOx|Non-fatal heart attacks", US_national_yearly!$D:$AM, 10, FALSE), 1)</f>
        <v>2.5676430353076181E-4</v>
      </c>
      <c r="Q13" s="7">
        <f>$B13 * IFERROR(VLOOKUP("transport|NOx|Non-fatal heart attacks", US_national_yearly!$D:$AM, 25, FALSE) / VLOOKUP("transport|NOx|Non-fatal heart attacks", US_national_yearly!$D:$AM, 10, FALSE), 1)</f>
        <v>2.5924594907006805E-4</v>
      </c>
      <c r="R13" s="7">
        <f>$B13 * IFERROR(VLOOKUP("transport|NOx|Non-fatal heart attacks", US_national_yearly!$D:$AM, 26, FALSE) / VLOOKUP("transport|NOx|Non-fatal heart attacks", US_national_yearly!$D:$AM, 10, FALSE), 1)</f>
        <v>2.6172759460937423E-4</v>
      </c>
      <c r="S13" s="7">
        <f>$B13 * IFERROR(VLOOKUP("transport|NOx|Non-fatal heart attacks", US_national_yearly!$D:$AM, 27, FALSE) / VLOOKUP("transport|NOx|Non-fatal heart attacks", US_national_yearly!$D:$AM, 10, FALSE), 1)</f>
        <v>2.6285328618998725E-4</v>
      </c>
      <c r="T13" s="7">
        <f>$B13 * IFERROR(VLOOKUP("transport|NOx|Non-fatal heart attacks", US_national_yearly!$D:$AM, 28, FALSE) / VLOOKUP("transport|NOx|Non-fatal heart attacks", US_national_yearly!$D:$AM, 10, FALSE), 1)</f>
        <v>2.6397897777060027E-4</v>
      </c>
      <c r="U13" s="7">
        <f>$B13 * IFERROR(VLOOKUP("transport|NOx|Non-fatal heart attacks", US_national_yearly!$D:$AM, 29, FALSE) / VLOOKUP("transport|NOx|Non-fatal heart attacks", US_national_yearly!$D:$AM, 10, FALSE), 1)</f>
        <v>2.6510466935121329E-4</v>
      </c>
      <c r="V13" s="7">
        <f>$B13 * IFERROR(VLOOKUP("transport|NOx|Non-fatal heart attacks", US_national_yearly!$D:$AM, 30, FALSE) / VLOOKUP("transport|NOx|Non-fatal heart attacks", US_national_yearly!$D:$AM, 10, FALSE), 1)</f>
        <v>2.6623036093182631E-4</v>
      </c>
      <c r="W13" s="7">
        <f>$B13 * IFERROR(VLOOKUP("transport|NOx|Non-fatal heart attacks", US_national_yearly!$D:$AM, 31, FALSE) / VLOOKUP("transport|NOx|Non-fatal heart attacks", US_national_yearly!$D:$AM, 10, FALSE), 1)</f>
        <v>2.6735605251243934E-4</v>
      </c>
      <c r="X13" s="7">
        <f>$B13 * IFERROR(VLOOKUP("transport|NOx|Non-fatal heart attacks", US_national_yearly!$D:$AM, 32, FALSE) / VLOOKUP("transport|NOx|Non-fatal heart attacks", US_national_yearly!$D:$AM, 10, FALSE), 1)</f>
        <v>2.6810829885848156E-4</v>
      </c>
      <c r="Y13" s="7">
        <f>$B13 * IFERROR(VLOOKUP("transport|NOx|Non-fatal heart attacks", US_national_yearly!$D:$AM, 33, FALSE) / VLOOKUP("transport|NOx|Non-fatal heart attacks", US_national_yearly!$D:$AM, 10, FALSE), 1)</f>
        <v>2.6886054520452378E-4</v>
      </c>
      <c r="Z13" s="7">
        <f>$B13 * IFERROR(VLOOKUP("transport|NOx|Non-fatal heart attacks", US_national_yearly!$D:$AM, 34, FALSE) / VLOOKUP("transport|NOx|Non-fatal heart attacks", US_national_yearly!$D:$AM, 10, FALSE), 1)</f>
        <v>2.6961279155056589E-4</v>
      </c>
      <c r="AA13" s="7">
        <f>$B13 * IFERROR(VLOOKUP("transport|NOx|Non-fatal heart attacks", US_national_yearly!$D:$AM, 35, FALSE) / VLOOKUP("transport|NOx|Non-fatal heart attacks", US_national_yearly!$D:$AM, 10, FALSE), 1)</f>
        <v>2.7036503789660806E-4</v>
      </c>
      <c r="AB13" s="7">
        <f>$B13 * IFERROR(VLOOKUP("transport|NOx|Non-fatal heart attacks", US_national_yearly!$D:$AM, 36, FALSE) / VLOOKUP("transport|NOx|Non-fatal heart attacks", US_national_yearly!$D:$AM, 10, FALSE), 1)</f>
        <v>2.7111728424265028E-4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0.13076829583863042</v>
      </c>
      <c r="C14" s="7">
        <f>$B14 * IFERROR(VLOOKUP("transport|NOx|Minor restricted activity days", US_national_yearly!$D:$AM, 11, FALSE) / VLOOKUP("transport|NOx|Minor restricted activity days", US_national_yearly!$D:$AM, 10, FALSE), 1)</f>
        <v>0.13096878558150629</v>
      </c>
      <c r="D14" s="7">
        <f>$B14 * IFERROR(VLOOKUP("transport|NOx|Minor restricted activity days", US_national_yearly!$D:$AM, 12, FALSE) / VLOOKUP("transport|NOx|Minor restricted activity days", US_national_yearly!$D:$AM, 10, FALSE), 1)</f>
        <v>0.13116927532438219</v>
      </c>
      <c r="E14" s="7">
        <f>$B14 * IFERROR(VLOOKUP("transport|NOx|Minor restricted activity days", US_national_yearly!$D:$AM, 13, FALSE) / VLOOKUP("transport|NOx|Minor restricted activity days", US_national_yearly!$D:$AM, 10, FALSE), 1)</f>
        <v>0.13136976506725809</v>
      </c>
      <c r="F14" s="7">
        <f>$B14 * IFERROR(VLOOKUP("transport|NOx|Minor restricted activity days", US_national_yearly!$D:$AM, 14, FALSE) / VLOOKUP("transport|NOx|Minor restricted activity days", US_national_yearly!$D:$AM, 10, FALSE), 1)</f>
        <v>0.13157025481013399</v>
      </c>
      <c r="G14" s="7">
        <f>$B14 * IFERROR(VLOOKUP("transport|NOx|Minor restricted activity days", US_national_yearly!$D:$AM, 15, FALSE) / VLOOKUP("transport|NOx|Minor restricted activity days", US_national_yearly!$D:$AM, 10, FALSE), 1)</f>
        <v>0.13193229156510844</v>
      </c>
      <c r="H14" s="7">
        <f>$B14 * IFERROR(VLOOKUP("transport|NOx|Minor restricted activity days", US_national_yearly!$D:$AM, 16, FALSE) / VLOOKUP("transport|NOx|Minor restricted activity days", US_national_yearly!$D:$AM, 10, FALSE), 1)</f>
        <v>0.13229432832008289</v>
      </c>
      <c r="I14" s="7">
        <f>$B14 * IFERROR(VLOOKUP("transport|NOx|Minor restricted activity days", US_national_yearly!$D:$AM, 17, FALSE) / VLOOKUP("transport|NOx|Minor restricted activity days", US_national_yearly!$D:$AM, 10, FALSE), 1)</f>
        <v>0.13300245789639825</v>
      </c>
      <c r="J14" s="7">
        <f>$B14 * IFERROR(VLOOKUP("transport|NOx|Minor restricted activity days", US_national_yearly!$D:$AM, 18, FALSE) / VLOOKUP("transport|NOx|Minor restricted activity days", US_national_yearly!$D:$AM, 10, FALSE), 1)</f>
        <v>0.13371058747271361</v>
      </c>
      <c r="K14" s="7">
        <f>$B14 * IFERROR(VLOOKUP("transport|NOx|Minor restricted activity days", US_national_yearly!$D:$AM, 19, FALSE) / VLOOKUP("transport|NOx|Minor restricted activity days", US_national_yearly!$D:$AM, 10, FALSE), 1)</f>
        <v>0.13441871704902897</v>
      </c>
      <c r="L14" s="7">
        <f>$B14 * IFERROR(VLOOKUP("transport|NOx|Minor restricted activity days", US_national_yearly!$D:$AM, 20, FALSE) / VLOOKUP("transport|NOx|Minor restricted activity days", US_national_yearly!$D:$AM, 10, FALSE), 1)</f>
        <v>0.13512684662534433</v>
      </c>
      <c r="M14" s="7">
        <f>$B14 * IFERROR(VLOOKUP("transport|NOx|Minor restricted activity days", US_national_yearly!$D:$AM, 21, FALSE) / VLOOKUP("transport|NOx|Minor restricted activity days", US_national_yearly!$D:$AM, 10, FALSE), 1)</f>
        <v>0.13583497620165969</v>
      </c>
      <c r="N14" s="7">
        <f>$B14 * IFERROR(VLOOKUP("transport|NOx|Minor restricted activity days", US_national_yearly!$D:$AM, 22, FALSE) / VLOOKUP("transport|NOx|Minor restricted activity days", US_national_yearly!$D:$AM, 10, FALSE), 1)</f>
        <v>0.13684885719003961</v>
      </c>
      <c r="O14" s="7">
        <f>$B14 * IFERROR(VLOOKUP("transport|NOx|Minor restricted activity days", US_national_yearly!$D:$AM, 23, FALSE) / VLOOKUP("transport|NOx|Minor restricted activity days", US_national_yearly!$D:$AM, 10, FALSE), 1)</f>
        <v>0.13786273817841954</v>
      </c>
      <c r="P14" s="7">
        <f>$B14 * IFERROR(VLOOKUP("transport|NOx|Minor restricted activity days", US_national_yearly!$D:$AM, 24, FALSE) / VLOOKUP("transport|NOx|Minor restricted activity days", US_national_yearly!$D:$AM, 10, FALSE), 1)</f>
        <v>0.13887661916679944</v>
      </c>
      <c r="Q14" s="7">
        <f>$B14 * IFERROR(VLOOKUP("transport|NOx|Minor restricted activity days", US_national_yearly!$D:$AM, 25, FALSE) / VLOOKUP("transport|NOx|Minor restricted activity days", US_national_yearly!$D:$AM, 10, FALSE), 1)</f>
        <v>0.13989050015517937</v>
      </c>
      <c r="R14" s="7">
        <f>$B14 * IFERROR(VLOOKUP("transport|NOx|Minor restricted activity days", US_national_yearly!$D:$AM, 26, FALSE) / VLOOKUP("transport|NOx|Minor restricted activity days", US_national_yearly!$D:$AM, 10, FALSE), 1)</f>
        <v>0.1409043811435593</v>
      </c>
      <c r="S14" s="7">
        <f>$B14 * IFERROR(VLOOKUP("transport|NOx|Minor restricted activity days", US_national_yearly!$D:$AM, 27, FALSE) / VLOOKUP("transport|NOx|Minor restricted activity days", US_national_yearly!$D:$AM, 10, FALSE), 1)</f>
        <v>0.14191804896563145</v>
      </c>
      <c r="T14" s="7">
        <f>$B14 * IFERROR(VLOOKUP("transport|NOx|Minor restricted activity days", US_national_yearly!$D:$AM, 28, FALSE) / VLOOKUP("transport|NOx|Minor restricted activity days", US_national_yearly!$D:$AM, 10, FALSE), 1)</f>
        <v>0.14293171678770358</v>
      </c>
      <c r="U14" s="7">
        <f>$B14 * IFERROR(VLOOKUP("transport|NOx|Minor restricted activity days", US_national_yearly!$D:$AM, 29, FALSE) / VLOOKUP("transport|NOx|Minor restricted activity days", US_national_yearly!$D:$AM, 10, FALSE), 1)</f>
        <v>0.14394538460977577</v>
      </c>
      <c r="V14" s="7">
        <f>$B14 * IFERROR(VLOOKUP("transport|NOx|Minor restricted activity days", US_national_yearly!$D:$AM, 30, FALSE) / VLOOKUP("transport|NOx|Minor restricted activity days", US_national_yearly!$D:$AM, 10, FALSE), 1)</f>
        <v>0.14495905243184792</v>
      </c>
      <c r="W14" s="7">
        <f>$B14 * IFERROR(VLOOKUP("transport|NOx|Minor restricted activity days", US_national_yearly!$D:$AM, 31, FALSE) / VLOOKUP("transport|NOx|Minor restricted activity days", US_national_yearly!$D:$AM, 10, FALSE), 1)</f>
        <v>0.14597272025392005</v>
      </c>
      <c r="X14" s="7">
        <f>$B14 * IFERROR(VLOOKUP("transport|NOx|Minor restricted activity days", US_national_yearly!$D:$AM, 32, FALSE) / VLOOKUP("transport|NOx|Minor restricted activity days", US_national_yearly!$D:$AM, 10, FALSE), 1)</f>
        <v>0.14682973778096517</v>
      </c>
      <c r="Y14" s="7">
        <f>$B14 * IFERROR(VLOOKUP("transport|NOx|Minor restricted activity days", US_national_yearly!$D:$AM, 33, FALSE) / VLOOKUP("transport|NOx|Minor restricted activity days", US_national_yearly!$D:$AM, 10, FALSE), 1)</f>
        <v>0.14768675530801029</v>
      </c>
      <c r="Z14" s="7">
        <f>$B14 * IFERROR(VLOOKUP("transport|NOx|Minor restricted activity days", US_national_yearly!$D:$AM, 34, FALSE) / VLOOKUP("transport|NOx|Minor restricted activity days", US_national_yearly!$D:$AM, 10, FALSE), 1)</f>
        <v>0.1485437728350554</v>
      </c>
      <c r="AA14" s="7">
        <f>$B14 * IFERROR(VLOOKUP("transport|NOx|Minor restricted activity days", US_national_yearly!$D:$AM, 35, FALSE) / VLOOKUP("transport|NOx|Minor restricted activity days", US_national_yearly!$D:$AM, 10, FALSE), 1)</f>
        <v>0.14940079036210052</v>
      </c>
      <c r="AB14" s="7">
        <f>$B14 * IFERROR(VLOOKUP("transport|NOx|Minor restricted activity days", US_national_yearly!$D:$AM, 36, FALSE) / VLOOKUP("transport|NOx|Minor restricted activity days", US_national_yearly!$D:$AM, 10, FALSE), 1)</f>
        <v>0.15025780788914564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2.1881454136820161E-2</v>
      </c>
      <c r="C15" s="7">
        <f>$B15 * IFERROR(VLOOKUP("transport|NOx|Work loss days", US_national_yearly!$D:$AM, 11, FALSE) / VLOOKUP("transport|NOx|Work loss days", US_national_yearly!$D:$AM, 10, FALSE), 1)</f>
        <v>2.1930128254399644E-2</v>
      </c>
      <c r="D15" s="7">
        <f>$B15 * IFERROR(VLOOKUP("transport|NOx|Work loss days", US_national_yearly!$D:$AM, 12, FALSE) / VLOOKUP("transport|NOx|Work loss days", US_national_yearly!$D:$AM, 10, FALSE), 1)</f>
        <v>2.197880237197913E-2</v>
      </c>
      <c r="E15" s="7">
        <f>$B15 * IFERROR(VLOOKUP("transport|NOx|Work loss days", US_national_yearly!$D:$AM, 13, FALSE) / VLOOKUP("transport|NOx|Work loss days", US_national_yearly!$D:$AM, 10, FALSE), 1)</f>
        <v>2.2027476489558613E-2</v>
      </c>
      <c r="F15" s="7">
        <f>$B15 * IFERROR(VLOOKUP("transport|NOx|Work loss days", US_national_yearly!$D:$AM, 14, FALSE) / VLOOKUP("transport|NOx|Work loss days", US_national_yearly!$D:$AM, 10, FALSE), 1)</f>
        <v>2.2076150607138099E-2</v>
      </c>
      <c r="G15" s="7">
        <f>$B15 * IFERROR(VLOOKUP("transport|NOx|Work loss days", US_national_yearly!$D:$AM, 15, FALSE) / VLOOKUP("transport|NOx|Work loss days", US_national_yearly!$D:$AM, 10, FALSE), 1)</f>
        <v>2.2147215234015982E-2</v>
      </c>
      <c r="H15" s="7">
        <f>$B15 * IFERROR(VLOOKUP("transport|NOx|Work loss days", US_national_yearly!$D:$AM, 16, FALSE) / VLOOKUP("transport|NOx|Work loss days", US_national_yearly!$D:$AM, 10, FALSE), 1)</f>
        <v>2.2218279860893864E-2</v>
      </c>
      <c r="I15" s="7">
        <f>$B15 * IFERROR(VLOOKUP("transport|NOx|Work loss days", US_national_yearly!$D:$AM, 17, FALSE) / VLOOKUP("transport|NOx|Work loss days", US_national_yearly!$D:$AM, 10, FALSE), 1)</f>
        <v>2.2333400705002115E-2</v>
      </c>
      <c r="J15" s="7">
        <f>$B15 * IFERROR(VLOOKUP("transport|NOx|Work loss days", US_national_yearly!$D:$AM, 18, FALSE) / VLOOKUP("transport|NOx|Work loss days", US_national_yearly!$D:$AM, 10, FALSE), 1)</f>
        <v>2.2448521549110371E-2</v>
      </c>
      <c r="K15" s="7">
        <f>$B15 * IFERROR(VLOOKUP("transport|NOx|Work loss days", US_national_yearly!$D:$AM, 19, FALSE) / VLOOKUP("transport|NOx|Work loss days", US_national_yearly!$D:$AM, 10, FALSE), 1)</f>
        <v>2.2563642393218619E-2</v>
      </c>
      <c r="L15" s="7">
        <f>$B15 * IFERROR(VLOOKUP("transport|NOx|Work loss days", US_national_yearly!$D:$AM, 20, FALSE) / VLOOKUP("transport|NOx|Work loss days", US_national_yearly!$D:$AM, 10, FALSE), 1)</f>
        <v>2.2678763237326868E-2</v>
      </c>
      <c r="M15" s="7">
        <f>$B15 * IFERROR(VLOOKUP("transport|NOx|Work loss days", US_national_yearly!$D:$AM, 21, FALSE) / VLOOKUP("transport|NOx|Work loss days", US_national_yearly!$D:$AM, 10, FALSE), 1)</f>
        <v>2.2793884081435123E-2</v>
      </c>
      <c r="N15" s="7">
        <f>$B15 * IFERROR(VLOOKUP("transport|NOx|Work loss days", US_national_yearly!$D:$AM, 22, FALSE) / VLOOKUP("transport|NOx|Work loss days", US_national_yearly!$D:$AM, 10, FALSE), 1)</f>
        <v>2.2943706795912358E-2</v>
      </c>
      <c r="O15" s="7">
        <f>$B15 * IFERROR(VLOOKUP("transport|NOx|Work loss days", US_national_yearly!$D:$AM, 23, FALSE) / VLOOKUP("transport|NOx|Work loss days", US_national_yearly!$D:$AM, 10, FALSE), 1)</f>
        <v>2.3093529510389597E-2</v>
      </c>
      <c r="P15" s="7">
        <f>$B15 * IFERROR(VLOOKUP("transport|NOx|Work loss days", US_national_yearly!$D:$AM, 24, FALSE) / VLOOKUP("transport|NOx|Work loss days", US_national_yearly!$D:$AM, 10, FALSE), 1)</f>
        <v>2.3243352224866832E-2</v>
      </c>
      <c r="Q15" s="7">
        <f>$B15 * IFERROR(VLOOKUP("transport|NOx|Work loss days", US_national_yearly!$D:$AM, 25, FALSE) / VLOOKUP("transport|NOx|Work loss days", US_national_yearly!$D:$AM, 10, FALSE), 1)</f>
        <v>2.339317493934406E-2</v>
      </c>
      <c r="R15" s="7">
        <f>$B15 * IFERROR(VLOOKUP("transport|NOx|Work loss days", US_national_yearly!$D:$AM, 26, FALSE) / VLOOKUP("transport|NOx|Work loss days", US_national_yearly!$D:$AM, 10, FALSE), 1)</f>
        <v>2.3542997653821302E-2</v>
      </c>
      <c r="S15" s="7">
        <f>$B15 * IFERROR(VLOOKUP("transport|NOx|Work loss days", US_national_yearly!$D:$AM, 27, FALSE) / VLOOKUP("transport|NOx|Work loss days", US_national_yearly!$D:$AM, 10, FALSE), 1)</f>
        <v>2.3710030823830799E-2</v>
      </c>
      <c r="T15" s="7">
        <f>$B15 * IFERROR(VLOOKUP("transport|NOx|Work loss days", US_national_yearly!$D:$AM, 28, FALSE) / VLOOKUP("transport|NOx|Work loss days", US_national_yearly!$D:$AM, 10, FALSE), 1)</f>
        <v>2.3877063993840299E-2</v>
      </c>
      <c r="U15" s="7">
        <f>$B15 * IFERROR(VLOOKUP("transport|NOx|Work loss days", US_national_yearly!$D:$AM, 29, FALSE) / VLOOKUP("transport|NOx|Work loss days", US_national_yearly!$D:$AM, 10, FALSE), 1)</f>
        <v>2.4044097163849788E-2</v>
      </c>
      <c r="V15" s="7">
        <f>$B15 * IFERROR(VLOOKUP("transport|NOx|Work loss days", US_national_yearly!$D:$AM, 30, FALSE) / VLOOKUP("transport|NOx|Work loss days", US_national_yearly!$D:$AM, 10, FALSE), 1)</f>
        <v>2.4211130333859288E-2</v>
      </c>
      <c r="W15" s="7">
        <f>$B15 * IFERROR(VLOOKUP("transport|NOx|Work loss days", US_national_yearly!$D:$AM, 31, FALSE) / VLOOKUP("transport|NOx|Work loss days", US_national_yearly!$D:$AM, 10, FALSE), 1)</f>
        <v>2.4378163503868785E-2</v>
      </c>
      <c r="X15" s="7">
        <f>$B15 * IFERROR(VLOOKUP("transport|NOx|Work loss days", US_national_yearly!$D:$AM, 32, FALSE) / VLOOKUP("transport|NOx|Work loss days", US_national_yearly!$D:$AM, 10, FALSE), 1)</f>
        <v>2.4523139389772835E-2</v>
      </c>
      <c r="Y15" s="7">
        <f>$B15 * IFERROR(VLOOKUP("transport|NOx|Work loss days", US_national_yearly!$D:$AM, 33, FALSE) / VLOOKUP("transport|NOx|Work loss days", US_national_yearly!$D:$AM, 10, FALSE), 1)</f>
        <v>2.4668115275676885E-2</v>
      </c>
      <c r="Z15" s="7">
        <f>$B15 * IFERROR(VLOOKUP("transport|NOx|Work loss days", US_national_yearly!$D:$AM, 34, FALSE) / VLOOKUP("transport|NOx|Work loss days", US_national_yearly!$D:$AM, 10, FALSE), 1)</f>
        <v>2.4813091161580935E-2</v>
      </c>
      <c r="AA15" s="7">
        <f>$B15 * IFERROR(VLOOKUP("transport|NOx|Work loss days", US_national_yearly!$D:$AM, 35, FALSE) / VLOOKUP("transport|NOx|Work loss days", US_national_yearly!$D:$AM, 10, FALSE), 1)</f>
        <v>2.4958067047484985E-2</v>
      </c>
      <c r="AB15" s="7">
        <f>$B15 * IFERROR(VLOOKUP("transport|NOx|Work loss days", US_national_yearly!$D:$AM, 36, FALSE) / VLOOKUP("transport|NOx|Work loss days", US_national_yearly!$D:$AM, 10, FALSE), 1)</f>
        <v>2.5103042933389035E-2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4.7955177311777305E-5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4.9364322535983792E-5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5.0773467760190258E-5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5.2182612984396731E-5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5.3591758208603218E-5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5.4930213134773683E-5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5.6268668060944154E-5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5.7394205397884058E-5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5.8519742734823955E-5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5.9645280071763858E-5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6.0770817408703762E-5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6.1896354745643673E-5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6.260019053687079E-5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6.3304026328097907E-5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6.4007862119325025E-5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6.4711697910552142E-5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6.5415533701779259E-5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6.5736674645647041E-5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6.605781558951481E-5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6.6378956533382578E-5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6.6700097477250347E-5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6.7021238421118129E-5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6.7199964490213368E-5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6.737869055930862E-5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6.7557416628403872E-5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6.7736142697499125E-5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6.7914868766594377E-5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2.0804896338670253E-3</v>
      </c>
      <c r="C2" s="7">
        <f>$B2 * IFERROR(VLOOKUP("transport|SO2|Premature mortality", US_national_yearly!$D:$AM, 11, FALSE) / VLOOKUP("transport|SO2|Premature mortality", US_national_yearly!$D:$AM, 10, FALSE), 1)</f>
        <v>2.1068379094010114E-3</v>
      </c>
      <c r="D2" s="7">
        <f>$B2 * IFERROR(VLOOKUP("transport|SO2|Premature mortality", US_national_yearly!$D:$AM, 12, FALSE) / VLOOKUP("transport|SO2|Premature mortality", US_national_yearly!$D:$AM, 10, FALSE), 1)</f>
        <v>2.1331861849349979E-3</v>
      </c>
      <c r="E2" s="7">
        <f>$B2 * IFERROR(VLOOKUP("transport|SO2|Premature mortality", US_national_yearly!$D:$AM, 13, FALSE) / VLOOKUP("transport|SO2|Premature mortality", US_national_yearly!$D:$AM, 10, FALSE), 1)</f>
        <v>2.1595344604689844E-3</v>
      </c>
      <c r="F2" s="7">
        <f>$B2 * IFERROR(VLOOKUP("transport|SO2|Premature mortality", US_national_yearly!$D:$AM, 14, FALSE) / VLOOKUP("transport|SO2|Premature mortality", US_national_yearly!$D:$AM, 10, FALSE), 1)</f>
        <v>2.1858827360029705E-3</v>
      </c>
      <c r="G2" s="7">
        <f>$B2 * IFERROR(VLOOKUP("transport|SO2|Premature mortality", US_national_yearly!$D:$AM, 15, FALSE) / VLOOKUP("transport|SO2|Premature mortality", US_national_yearly!$D:$AM, 10, FALSE), 1)</f>
        <v>2.2366543696987003E-3</v>
      </c>
      <c r="H2" s="7">
        <f>$B2 * IFERROR(VLOOKUP("transport|SO2|Premature mortality", US_national_yearly!$D:$AM, 16, FALSE) / VLOOKUP("transport|SO2|Premature mortality", US_national_yearly!$D:$AM, 10, FALSE), 1)</f>
        <v>2.2874260033944301E-3</v>
      </c>
      <c r="I2" s="7">
        <f>$B2 * IFERROR(VLOOKUP("transport|SO2|Premature mortality", US_national_yearly!$D:$AM, 17, FALSE) / VLOOKUP("transport|SO2|Premature mortality", US_national_yearly!$D:$AM, 10, FALSE), 1)</f>
        <v>2.3209790099226377E-3</v>
      </c>
      <c r="J2" s="7">
        <f>$B2 * IFERROR(VLOOKUP("transport|SO2|Premature mortality", US_national_yearly!$D:$AM, 18, FALSE) / VLOOKUP("transport|SO2|Premature mortality", US_national_yearly!$D:$AM, 10, FALSE), 1)</f>
        <v>2.3545320164508454E-3</v>
      </c>
      <c r="K2" s="7">
        <f>$B2 * IFERROR(VLOOKUP("transport|SO2|Premature mortality", US_national_yearly!$D:$AM, 19, FALSE) / VLOOKUP("transport|SO2|Premature mortality", US_national_yearly!$D:$AM, 10, FALSE), 1)</f>
        <v>2.3880850229790525E-3</v>
      </c>
      <c r="L2" s="7">
        <f>$B2 * IFERROR(VLOOKUP("transport|SO2|Premature mortality", US_national_yearly!$D:$AM, 20, FALSE) / VLOOKUP("transport|SO2|Premature mortality", US_national_yearly!$D:$AM, 10, FALSE), 1)</f>
        <v>2.4216380295072606E-3</v>
      </c>
      <c r="M2" s="7">
        <f>$B2 * IFERROR(VLOOKUP("transport|SO2|Premature mortality", US_national_yearly!$D:$AM, 21, FALSE) / VLOOKUP("transport|SO2|Premature mortality", US_national_yearly!$D:$AM, 10, FALSE), 1)</f>
        <v>2.4551910360354682E-3</v>
      </c>
      <c r="N2" s="7">
        <f>$B2 * IFERROR(VLOOKUP("transport|SO2|Premature mortality", US_national_yearly!$D:$AM, 22, FALSE) / VLOOKUP("transport|SO2|Premature mortality", US_national_yearly!$D:$AM, 10, FALSE), 1)</f>
        <v>2.4814075353300456E-3</v>
      </c>
      <c r="O2" s="7">
        <f>$B2 * IFERROR(VLOOKUP("transport|SO2|Premature mortality", US_national_yearly!$D:$AM, 23, FALSE) / VLOOKUP("transport|SO2|Premature mortality", US_national_yearly!$D:$AM, 10, FALSE), 1)</f>
        <v>2.5076240346246234E-3</v>
      </c>
      <c r="P2" s="7">
        <f>$B2 * IFERROR(VLOOKUP("transport|SO2|Premature mortality", US_national_yearly!$D:$AM, 24, FALSE) / VLOOKUP("transport|SO2|Premature mortality", US_national_yearly!$D:$AM, 10, FALSE), 1)</f>
        <v>2.5338405339192013E-3</v>
      </c>
      <c r="Q2" s="7">
        <f>$B2 * IFERROR(VLOOKUP("transport|SO2|Premature mortality", US_national_yearly!$D:$AM, 25, FALSE) / VLOOKUP("transport|SO2|Premature mortality", US_national_yearly!$D:$AM, 10, FALSE), 1)</f>
        <v>2.5600570332137786E-3</v>
      </c>
      <c r="R2" s="7">
        <f>$B2 * IFERROR(VLOOKUP("transport|SO2|Premature mortality", US_national_yearly!$D:$AM, 26, FALSE) / VLOOKUP("transport|SO2|Premature mortality", US_national_yearly!$D:$AM, 10, FALSE), 1)</f>
        <v>2.5862735325083556E-3</v>
      </c>
      <c r="S2" s="7">
        <f>$B2 * IFERROR(VLOOKUP("transport|SO2|Premature mortality", US_national_yearly!$D:$AM, 27, FALSE) / VLOOKUP("transport|SO2|Premature mortality", US_national_yearly!$D:$AM, 10, FALSE), 1)</f>
        <v>2.6003128169585139E-3</v>
      </c>
      <c r="T2" s="7">
        <f>$B2 * IFERROR(VLOOKUP("transport|SO2|Premature mortality", US_national_yearly!$D:$AM, 28, FALSE) / VLOOKUP("transport|SO2|Premature mortality", US_national_yearly!$D:$AM, 10, FALSE), 1)</f>
        <v>2.6143521014086717E-3</v>
      </c>
      <c r="U2" s="7">
        <f>$B2 * IFERROR(VLOOKUP("transport|SO2|Premature mortality", US_national_yearly!$D:$AM, 29, FALSE) / VLOOKUP("transport|SO2|Premature mortality", US_national_yearly!$D:$AM, 10, FALSE), 1)</f>
        <v>2.6283913858588292E-3</v>
      </c>
      <c r="V2" s="7">
        <f>$B2 * IFERROR(VLOOKUP("transport|SO2|Premature mortality", US_national_yearly!$D:$AM, 30, FALSE) / VLOOKUP("transport|SO2|Premature mortality", US_national_yearly!$D:$AM, 10, FALSE), 1)</f>
        <v>2.642430670308987E-3</v>
      </c>
      <c r="W2" s="7">
        <f>$B2 * IFERROR(VLOOKUP("transport|SO2|Premature mortality", US_national_yearly!$D:$AM, 31, FALSE) / VLOOKUP("transport|SO2|Premature mortality", US_national_yearly!$D:$AM, 10, FALSE), 1)</f>
        <v>2.6564699547591449E-3</v>
      </c>
      <c r="X2" s="7">
        <f>$B2 * IFERROR(VLOOKUP("transport|SO2|Premature mortality", US_national_yearly!$D:$AM, 32, FALSE) / VLOOKUP("transport|SO2|Premature mortality", US_national_yearly!$D:$AM, 10, FALSE), 1)</f>
        <v>2.6593220783381359E-3</v>
      </c>
      <c r="Y2" s="7">
        <f>$B2 * IFERROR(VLOOKUP("transport|SO2|Premature mortality", US_national_yearly!$D:$AM, 33, FALSE) / VLOOKUP("transport|SO2|Premature mortality", US_national_yearly!$D:$AM, 10, FALSE), 1)</f>
        <v>2.6621742019171278E-3</v>
      </c>
      <c r="Z2" s="7">
        <f>$B2 * IFERROR(VLOOKUP("transport|SO2|Premature mortality", US_national_yearly!$D:$AM, 34, FALSE) / VLOOKUP("transport|SO2|Premature mortality", US_national_yearly!$D:$AM, 10, FALSE), 1)</f>
        <v>2.6650263254961192E-3</v>
      </c>
      <c r="AA2" s="7">
        <f>$B2 * IFERROR(VLOOKUP("transport|SO2|Premature mortality", US_national_yearly!$D:$AM, 35, FALSE) / VLOOKUP("transport|SO2|Premature mortality", US_national_yearly!$D:$AM, 10, FALSE), 1)</f>
        <v>2.6678784490751107E-3</v>
      </c>
      <c r="AB2" s="7">
        <f>$B2 * IFERROR(VLOOKUP("transport|SO2|Premature mortality", US_national_yearly!$D:$AM, 36, FALSE) / VLOOKUP("transport|SO2|Premature mortality", US_national_yearly!$D:$AM, 10, FALSE), 1)</f>
        <v>2.6707305726541017E-3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2.98160168380209E-6</v>
      </c>
      <c r="C3" s="7">
        <f>$B3 * IFERROR(VLOOKUP("transport|SO2|Infant mortality", US_national_yearly!$D:$AM, 11, FALSE) / VLOOKUP("transport|SO2|Infant mortality", US_national_yearly!$D:$AM, 10, FALSE), 1)</f>
        <v>2.9559891814774727E-6</v>
      </c>
      <c r="D3" s="7">
        <f>$B3 * IFERROR(VLOOKUP("transport|SO2|Infant mortality", US_national_yearly!$D:$AM, 12, FALSE) / VLOOKUP("transport|SO2|Infant mortality", US_national_yearly!$D:$AM, 10, FALSE), 1)</f>
        <v>2.9303766791528553E-6</v>
      </c>
      <c r="E3" s="7">
        <f>$B3 * IFERROR(VLOOKUP("transport|SO2|Infant mortality", US_national_yearly!$D:$AM, 13, FALSE) / VLOOKUP("transport|SO2|Infant mortality", US_national_yearly!$D:$AM, 10, FALSE), 1)</f>
        <v>2.9047641768282375E-6</v>
      </c>
      <c r="F3" s="7">
        <f>$B3 * IFERROR(VLOOKUP("transport|SO2|Infant mortality", US_national_yearly!$D:$AM, 14, FALSE) / VLOOKUP("transport|SO2|Infant mortality", US_national_yearly!$D:$AM, 10, FALSE), 1)</f>
        <v>2.8791516745036205E-6</v>
      </c>
      <c r="G3" s="7">
        <f>$B3 * IFERROR(VLOOKUP("transport|SO2|Infant mortality", US_national_yearly!$D:$AM, 15, FALSE) / VLOOKUP("transport|SO2|Infant mortality", US_national_yearly!$D:$AM, 10, FALSE), 1)</f>
        <v>1.9177469066463247E-6</v>
      </c>
      <c r="H3" s="7">
        <f>$B3 * IFERROR(VLOOKUP("transport|SO2|Infant mortality", US_national_yearly!$D:$AM, 16, FALSE) / VLOOKUP("transport|SO2|Infant mortality", US_national_yearly!$D:$AM, 10, FALSE), 1)</f>
        <v>9.5634213878903049E-7</v>
      </c>
      <c r="I3" s="7">
        <f>$B3 * IFERROR(VLOOKUP("transport|SO2|Infant mortality", US_national_yearly!$D:$AM, 17, FALSE) / VLOOKUP("transport|SO2|Infant mortality", US_national_yearly!$D:$AM, 10, FALSE), 1)</f>
        <v>9.5034271576187583E-7</v>
      </c>
      <c r="J3" s="7">
        <f>$B3 * IFERROR(VLOOKUP("transport|SO2|Infant mortality", US_national_yearly!$D:$AM, 18, FALSE) / VLOOKUP("transport|SO2|Infant mortality", US_national_yearly!$D:$AM, 10, FALSE), 1)</f>
        <v>9.4434329273472107E-7</v>
      </c>
      <c r="K3" s="7">
        <f>$B3 * IFERROR(VLOOKUP("transport|SO2|Infant mortality", US_national_yearly!$D:$AM, 19, FALSE) / VLOOKUP("transport|SO2|Infant mortality", US_national_yearly!$D:$AM, 10, FALSE), 1)</f>
        <v>9.3834386970756641E-7</v>
      </c>
      <c r="L3" s="7">
        <f>$B3 * IFERROR(VLOOKUP("transport|SO2|Infant mortality", US_national_yearly!$D:$AM, 20, FALSE) / VLOOKUP("transport|SO2|Infant mortality", US_national_yearly!$D:$AM, 10, FALSE), 1)</f>
        <v>9.3234444668041186E-7</v>
      </c>
      <c r="M3" s="7">
        <f>$B3 * IFERROR(VLOOKUP("transport|SO2|Infant mortality", US_national_yearly!$D:$AM, 21, FALSE) / VLOOKUP("transport|SO2|Infant mortality", US_national_yearly!$D:$AM, 10, FALSE), 1)</f>
        <v>9.263450236532572E-7</v>
      </c>
      <c r="N3" s="7">
        <f>$B3 * IFERROR(VLOOKUP("transport|SO2|Infant mortality", US_national_yearly!$D:$AM, 22, FALSE) / VLOOKUP("transport|SO2|Infant mortality", US_national_yearly!$D:$AM, 10, FALSE), 1)</f>
        <v>9.2257923073476594E-7</v>
      </c>
      <c r="O3" s="7">
        <f>$B3 * IFERROR(VLOOKUP("transport|SO2|Infant mortality", US_national_yearly!$D:$AM, 23, FALSE) / VLOOKUP("transport|SO2|Infant mortality", US_national_yearly!$D:$AM, 10, FALSE), 1)</f>
        <v>9.1881343781627467E-7</v>
      </c>
      <c r="P3" s="7">
        <f>$B3 * IFERROR(VLOOKUP("transport|SO2|Infant mortality", US_national_yearly!$D:$AM, 24, FALSE) / VLOOKUP("transport|SO2|Infant mortality", US_national_yearly!$D:$AM, 10, FALSE), 1)</f>
        <v>9.150476448977833E-7</v>
      </c>
      <c r="Q3" s="7">
        <f>$B3 * IFERROR(VLOOKUP("transport|SO2|Infant mortality", US_national_yearly!$D:$AM, 25, FALSE) / VLOOKUP("transport|SO2|Infant mortality", US_national_yearly!$D:$AM, 10, FALSE), 1)</f>
        <v>9.1128185197929215E-7</v>
      </c>
      <c r="R3" s="7">
        <f>$B3 * IFERROR(VLOOKUP("transport|SO2|Infant mortality", US_national_yearly!$D:$AM, 26, FALSE) / VLOOKUP("transport|SO2|Infant mortality", US_national_yearly!$D:$AM, 10, FALSE), 1)</f>
        <v>9.0751605906080067E-7</v>
      </c>
      <c r="S3" s="7">
        <f>$B3 * IFERROR(VLOOKUP("transport|SO2|Infant mortality", US_national_yearly!$D:$AM, 27, FALSE) / VLOOKUP("transport|SO2|Infant mortality", US_national_yearly!$D:$AM, 10, FALSE), 1)</f>
        <v>9.0278787663461945E-7</v>
      </c>
      <c r="T3" s="7">
        <f>$B3 * IFERROR(VLOOKUP("transport|SO2|Infant mortality", US_national_yearly!$D:$AM, 28, FALSE) / VLOOKUP("transport|SO2|Infant mortality", US_national_yearly!$D:$AM, 10, FALSE), 1)</f>
        <v>8.9805969420843833E-7</v>
      </c>
      <c r="U3" s="7">
        <f>$B3 * IFERROR(VLOOKUP("transport|SO2|Infant mortality", US_national_yearly!$D:$AM, 29, FALSE) / VLOOKUP("transport|SO2|Infant mortality", US_national_yearly!$D:$AM, 10, FALSE), 1)</f>
        <v>8.9333151178225668E-7</v>
      </c>
      <c r="V3" s="7">
        <f>$B3 * IFERROR(VLOOKUP("transport|SO2|Infant mortality", US_national_yearly!$D:$AM, 30, FALSE) / VLOOKUP("transport|SO2|Infant mortality", US_national_yearly!$D:$AM, 10, FALSE), 1)</f>
        <v>8.8860332935607567E-7</v>
      </c>
      <c r="W3" s="7">
        <f>$B3 * IFERROR(VLOOKUP("transport|SO2|Infant mortality", US_national_yearly!$D:$AM, 31, FALSE) / VLOOKUP("transport|SO2|Infant mortality", US_national_yearly!$D:$AM, 10, FALSE), 1)</f>
        <v>8.8387514692989433E-7</v>
      </c>
      <c r="X3" s="7">
        <f>$B3 * IFERROR(VLOOKUP("transport|SO2|Infant mortality", US_national_yearly!$D:$AM, 32, FALSE) / VLOOKUP("transport|SO2|Infant mortality", US_national_yearly!$D:$AM, 10, FALSE), 1)</f>
        <v>8.7870578408021293E-7</v>
      </c>
      <c r="Y3" s="7">
        <f>$B3 * IFERROR(VLOOKUP("transport|SO2|Infant mortality", US_national_yearly!$D:$AM, 33, FALSE) / VLOOKUP("transport|SO2|Infant mortality", US_national_yearly!$D:$AM, 10, FALSE), 1)</f>
        <v>8.735364212305312E-7</v>
      </c>
      <c r="Z3" s="7">
        <f>$B3 * IFERROR(VLOOKUP("transport|SO2|Infant mortality", US_national_yearly!$D:$AM, 34, FALSE) / VLOOKUP("transport|SO2|Infant mortality", US_national_yearly!$D:$AM, 10, FALSE), 1)</f>
        <v>8.6836705838084979E-7</v>
      </c>
      <c r="AA3" s="7">
        <f>$B3 * IFERROR(VLOOKUP("transport|SO2|Infant mortality", US_national_yearly!$D:$AM, 35, FALSE) / VLOOKUP("transport|SO2|Infant mortality", US_national_yearly!$D:$AM, 10, FALSE), 1)</f>
        <v>8.6319769553116806E-7</v>
      </c>
      <c r="AB3" s="7">
        <f>$B3 * IFERROR(VLOOKUP("transport|SO2|Infant mortality", US_national_yearly!$D:$AM, 36, FALSE) / VLOOKUP("transport|SO2|Infant mortality", US_national_yearly!$D:$AM, 10, FALSE), 1)</f>
        <v>8.5802833268148666E-7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4.3367383370404118E-3</v>
      </c>
      <c r="C6" s="7">
        <f>$B6 * IFERROR(VLOOKUP("transport|SO2|Asthma symptoms cough", US_national_yearly!$D:$AM, 11, FALSE) / VLOOKUP("transport|SO2|Asthma symptoms cough", US_national_yearly!$D:$AM, 10, FALSE), 1)</f>
        <v>4.3367383370404118E-3</v>
      </c>
      <c r="D6" s="7">
        <f>$B6 * IFERROR(VLOOKUP("transport|SO2|Asthma symptoms cough", US_national_yearly!$D:$AM, 12, FALSE) / VLOOKUP("transport|SO2|Asthma symptoms cough", US_national_yearly!$D:$AM, 10, FALSE), 1)</f>
        <v>4.3367383370404118E-3</v>
      </c>
      <c r="E6" s="7">
        <f>$B6 * IFERROR(VLOOKUP("transport|SO2|Asthma symptoms cough", US_national_yearly!$D:$AM, 13, FALSE) / VLOOKUP("transport|SO2|Asthma symptoms cough", US_national_yearly!$D:$AM, 10, FALSE), 1)</f>
        <v>4.3367383370404118E-3</v>
      </c>
      <c r="F6" s="7">
        <f>$B6 * IFERROR(VLOOKUP("transport|SO2|Asthma symptoms cough", US_national_yearly!$D:$AM, 14, FALSE) / VLOOKUP("transport|SO2|Asthma symptoms cough", US_national_yearly!$D:$AM, 10, FALSE), 1)</f>
        <v>4.3367383370404118E-3</v>
      </c>
      <c r="G6" s="7">
        <f>$B6 * IFERROR(VLOOKUP("transport|SO2|Asthma symptoms cough", US_national_yearly!$D:$AM, 15, FALSE) / VLOOKUP("transport|SO2|Asthma symptoms cough", US_national_yearly!$D:$AM, 10, FALSE), 1)</f>
        <v>4.3367383370404118E-3</v>
      </c>
      <c r="H6" s="7">
        <f>$B6 * IFERROR(VLOOKUP("transport|SO2|Asthma symptoms cough", US_national_yearly!$D:$AM, 16, FALSE) / VLOOKUP("transport|SO2|Asthma symptoms cough", US_national_yearly!$D:$AM, 10, FALSE), 1)</f>
        <v>4.3367383370404118E-3</v>
      </c>
      <c r="I6" s="7">
        <f>$B6 * IFERROR(VLOOKUP("transport|SO2|Asthma symptoms cough", US_national_yearly!$D:$AM, 17, FALSE) / VLOOKUP("transport|SO2|Asthma symptoms cough", US_national_yearly!$D:$AM, 10, FALSE), 1)</f>
        <v>4.3367383370404118E-3</v>
      </c>
      <c r="J6" s="7">
        <f>$B6 * IFERROR(VLOOKUP("transport|SO2|Asthma symptoms cough", US_national_yearly!$D:$AM, 18, FALSE) / VLOOKUP("transport|SO2|Asthma symptoms cough", US_national_yearly!$D:$AM, 10, FALSE), 1)</f>
        <v>4.3367383370404118E-3</v>
      </c>
      <c r="K6" s="7">
        <f>$B6 * IFERROR(VLOOKUP("transport|SO2|Asthma symptoms cough", US_national_yearly!$D:$AM, 19, FALSE) / VLOOKUP("transport|SO2|Asthma symptoms cough", US_national_yearly!$D:$AM, 10, FALSE), 1)</f>
        <v>4.3367383370404118E-3</v>
      </c>
      <c r="L6" s="7">
        <f>$B6 * IFERROR(VLOOKUP("transport|SO2|Asthma symptoms cough", US_national_yearly!$D:$AM, 20, FALSE) / VLOOKUP("transport|SO2|Asthma symptoms cough", US_national_yearly!$D:$AM, 10, FALSE), 1)</f>
        <v>4.3367383370404118E-3</v>
      </c>
      <c r="M6" s="7">
        <f>$B6 * IFERROR(VLOOKUP("transport|SO2|Asthma symptoms cough", US_national_yearly!$D:$AM, 21, FALSE) / VLOOKUP("transport|SO2|Asthma symptoms cough", US_national_yearly!$D:$AM, 10, FALSE), 1)</f>
        <v>4.3367383370404118E-3</v>
      </c>
      <c r="N6" s="7">
        <f>$B6 * IFERROR(VLOOKUP("transport|SO2|Asthma symptoms cough", US_national_yearly!$D:$AM, 22, FALSE) / VLOOKUP("transport|SO2|Asthma symptoms cough", US_national_yearly!$D:$AM, 10, FALSE), 1)</f>
        <v>4.3367383370404118E-3</v>
      </c>
      <c r="O6" s="7">
        <f>$B6 * IFERROR(VLOOKUP("transport|SO2|Asthma symptoms cough", US_national_yearly!$D:$AM, 23, FALSE) / VLOOKUP("transport|SO2|Asthma symptoms cough", US_national_yearly!$D:$AM, 10, FALSE), 1)</f>
        <v>4.3367383370404118E-3</v>
      </c>
      <c r="P6" s="7">
        <f>$B6 * IFERROR(VLOOKUP("transport|SO2|Asthma symptoms cough", US_national_yearly!$D:$AM, 24, FALSE) / VLOOKUP("transport|SO2|Asthma symptoms cough", US_national_yearly!$D:$AM, 10, FALSE), 1)</f>
        <v>4.3367383370404118E-3</v>
      </c>
      <c r="Q6" s="7">
        <f>$B6 * IFERROR(VLOOKUP("transport|SO2|Asthma symptoms cough", US_national_yearly!$D:$AM, 25, FALSE) / VLOOKUP("transport|SO2|Asthma symptoms cough", US_national_yearly!$D:$AM, 10, FALSE), 1)</f>
        <v>4.3367383370404118E-3</v>
      </c>
      <c r="R6" s="7">
        <f>$B6 * IFERROR(VLOOKUP("transport|SO2|Asthma symptoms cough", US_national_yearly!$D:$AM, 26, FALSE) / VLOOKUP("transport|SO2|Asthma symptoms cough", US_national_yearly!$D:$AM, 10, FALSE), 1)</f>
        <v>4.3367383370404118E-3</v>
      </c>
      <c r="S6" s="7">
        <f>$B6 * IFERROR(VLOOKUP("transport|SO2|Asthma symptoms cough", US_national_yearly!$D:$AM, 27, FALSE) / VLOOKUP("transport|SO2|Asthma symptoms cough", US_national_yearly!$D:$AM, 10, FALSE), 1)</f>
        <v>4.3367383370404118E-3</v>
      </c>
      <c r="T6" s="7">
        <f>$B6 * IFERROR(VLOOKUP("transport|SO2|Asthma symptoms cough", US_national_yearly!$D:$AM, 28, FALSE) / VLOOKUP("transport|SO2|Asthma symptoms cough", US_national_yearly!$D:$AM, 10, FALSE), 1)</f>
        <v>4.3367383370404118E-3</v>
      </c>
      <c r="U6" s="7">
        <f>$B6 * IFERROR(VLOOKUP("transport|SO2|Asthma symptoms cough", US_national_yearly!$D:$AM, 29, FALSE) / VLOOKUP("transport|SO2|Asthma symptoms cough", US_national_yearly!$D:$AM, 10, FALSE), 1)</f>
        <v>4.3367383370404118E-3</v>
      </c>
      <c r="V6" s="7">
        <f>$B6 * IFERROR(VLOOKUP("transport|SO2|Asthma symptoms cough", US_national_yearly!$D:$AM, 30, FALSE) / VLOOKUP("transport|SO2|Asthma symptoms cough", US_national_yearly!$D:$AM, 10, FALSE), 1)</f>
        <v>4.3367383370404118E-3</v>
      </c>
      <c r="W6" s="7">
        <f>$B6 * IFERROR(VLOOKUP("transport|SO2|Asthma symptoms cough", US_national_yearly!$D:$AM, 31, FALSE) / VLOOKUP("transport|SO2|Asthma symptoms cough", US_national_yearly!$D:$AM, 10, FALSE), 1)</f>
        <v>4.3367383370404118E-3</v>
      </c>
      <c r="X6" s="7">
        <f>$B6 * IFERROR(VLOOKUP("transport|SO2|Asthma symptoms cough", US_national_yearly!$D:$AM, 32, FALSE) / VLOOKUP("transport|SO2|Asthma symptoms cough", US_national_yearly!$D:$AM, 10, FALSE), 1)</f>
        <v>4.3367383370404118E-3</v>
      </c>
      <c r="Y6" s="7">
        <f>$B6 * IFERROR(VLOOKUP("transport|SO2|Asthma symptoms cough", US_national_yearly!$D:$AM, 33, FALSE) / VLOOKUP("transport|SO2|Asthma symptoms cough", US_national_yearly!$D:$AM, 10, FALSE), 1)</f>
        <v>4.3367383370404118E-3</v>
      </c>
      <c r="Z6" s="7">
        <f>$B6 * IFERROR(VLOOKUP("transport|SO2|Asthma symptoms cough", US_national_yearly!$D:$AM, 34, FALSE) / VLOOKUP("transport|SO2|Asthma symptoms cough", US_national_yearly!$D:$AM, 10, FALSE), 1)</f>
        <v>4.3367383370404118E-3</v>
      </c>
      <c r="AA6" s="7">
        <f>$B6 * IFERROR(VLOOKUP("transport|SO2|Asthma symptoms cough", US_national_yearly!$D:$AM, 35, FALSE) / VLOOKUP("transport|SO2|Asthma symptoms cough", US_national_yearly!$D:$AM, 10, FALSE), 1)</f>
        <v>4.3367383370404118E-3</v>
      </c>
      <c r="AB6" s="7">
        <f>$B6 * IFERROR(VLOOKUP("transport|SO2|Asthma symptoms cough", US_national_yearly!$D:$AM, 36, FALSE) / VLOOKUP("transport|SO2|Asthma symptoms cough", US_national_yearly!$D:$AM, 10, FALSE), 1)</f>
        <v>4.3367383370404118E-3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5.8400534521454951E-3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5.8400534521454951E-3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5.8400534521454951E-3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5.8400534521454951E-3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5.8400534521454951E-3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5.8400534521454951E-3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5.8400534521454951E-3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5.8400534521454951E-3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5.8400534521454951E-3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5.8400534521454951E-3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5.8400534521454951E-3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5.8400534521454951E-3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5.8400534521454951E-3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5.8400534521454951E-3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5.8400534521454951E-3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5.8400534521454951E-3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5.8400534521454951E-3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5.8400534521454951E-3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5.8400534521454951E-3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5.8400534521454951E-3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5.8400534521454951E-3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5.8400534521454951E-3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5.8400534521454951E-3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5.8400534521454951E-3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5.8400534521454951E-3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5.8400534521454951E-3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5.8400534521454951E-3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8.9225904388927635E-3</v>
      </c>
      <c r="C8" s="7">
        <f>$B8 * IFERROR(VLOOKUP("transport|SO2|Asthma symptoms wheeze", US_national_yearly!$D:$AM, 11, FALSE) / VLOOKUP("transport|SO2|Asthma symptoms wheeze", US_national_yearly!$D:$AM, 10, FALSE), 1)</f>
        <v>8.9225904388927635E-3</v>
      </c>
      <c r="D8" s="7">
        <f>$B8 * IFERROR(VLOOKUP("transport|SO2|Asthma symptoms wheeze", US_national_yearly!$D:$AM, 12, FALSE) / VLOOKUP("transport|SO2|Asthma symptoms wheeze", US_national_yearly!$D:$AM, 10, FALSE), 1)</f>
        <v>8.9225904388927635E-3</v>
      </c>
      <c r="E8" s="7">
        <f>$B8 * IFERROR(VLOOKUP("transport|SO2|Asthma symptoms wheeze", US_national_yearly!$D:$AM, 13, FALSE) / VLOOKUP("transport|SO2|Asthma symptoms wheeze", US_national_yearly!$D:$AM, 10, FALSE), 1)</f>
        <v>8.9225904388927635E-3</v>
      </c>
      <c r="F8" s="7">
        <f>$B8 * IFERROR(VLOOKUP("transport|SO2|Asthma symptoms wheeze", US_national_yearly!$D:$AM, 14, FALSE) / VLOOKUP("transport|SO2|Asthma symptoms wheeze", US_national_yearly!$D:$AM, 10, FALSE), 1)</f>
        <v>8.9225904388927635E-3</v>
      </c>
      <c r="G8" s="7">
        <f>$B8 * IFERROR(VLOOKUP("transport|SO2|Asthma symptoms wheeze", US_national_yearly!$D:$AM, 15, FALSE) / VLOOKUP("transport|SO2|Asthma symptoms wheeze", US_national_yearly!$D:$AM, 10, FALSE), 1)</f>
        <v>8.9225904388927635E-3</v>
      </c>
      <c r="H8" s="7">
        <f>$B8 * IFERROR(VLOOKUP("transport|SO2|Asthma symptoms wheeze", US_national_yearly!$D:$AM, 16, FALSE) / VLOOKUP("transport|SO2|Asthma symptoms wheeze", US_national_yearly!$D:$AM, 10, FALSE), 1)</f>
        <v>8.9225904388927635E-3</v>
      </c>
      <c r="I8" s="7">
        <f>$B8 * IFERROR(VLOOKUP("transport|SO2|Asthma symptoms wheeze", US_national_yearly!$D:$AM, 17, FALSE) / VLOOKUP("transport|SO2|Asthma symptoms wheeze", US_national_yearly!$D:$AM, 10, FALSE), 1)</f>
        <v>8.9225904388927635E-3</v>
      </c>
      <c r="J8" s="7">
        <f>$B8 * IFERROR(VLOOKUP("transport|SO2|Asthma symptoms wheeze", US_national_yearly!$D:$AM, 18, FALSE) / VLOOKUP("transport|SO2|Asthma symptoms wheeze", US_national_yearly!$D:$AM, 10, FALSE), 1)</f>
        <v>8.9225904388927635E-3</v>
      </c>
      <c r="K8" s="7">
        <f>$B8 * IFERROR(VLOOKUP("transport|SO2|Asthma symptoms wheeze", US_national_yearly!$D:$AM, 19, FALSE) / VLOOKUP("transport|SO2|Asthma symptoms wheeze", US_national_yearly!$D:$AM, 10, FALSE), 1)</f>
        <v>8.9225904388927635E-3</v>
      </c>
      <c r="L8" s="7">
        <f>$B8 * IFERROR(VLOOKUP("transport|SO2|Asthma symptoms wheeze", US_national_yearly!$D:$AM, 20, FALSE) / VLOOKUP("transport|SO2|Asthma symptoms wheeze", US_national_yearly!$D:$AM, 10, FALSE), 1)</f>
        <v>8.9225904388927635E-3</v>
      </c>
      <c r="M8" s="7">
        <f>$B8 * IFERROR(VLOOKUP("transport|SO2|Asthma symptoms wheeze", US_national_yearly!$D:$AM, 21, FALSE) / VLOOKUP("transport|SO2|Asthma symptoms wheeze", US_national_yearly!$D:$AM, 10, FALSE), 1)</f>
        <v>8.9225904388927635E-3</v>
      </c>
      <c r="N8" s="7">
        <f>$B8 * IFERROR(VLOOKUP("transport|SO2|Asthma symptoms wheeze", US_national_yearly!$D:$AM, 22, FALSE) / VLOOKUP("transport|SO2|Asthma symptoms wheeze", US_national_yearly!$D:$AM, 10, FALSE), 1)</f>
        <v>8.9225904388927635E-3</v>
      </c>
      <c r="O8" s="7">
        <f>$B8 * IFERROR(VLOOKUP("transport|SO2|Asthma symptoms wheeze", US_national_yearly!$D:$AM, 23, FALSE) / VLOOKUP("transport|SO2|Asthma symptoms wheeze", US_national_yearly!$D:$AM, 10, FALSE), 1)</f>
        <v>8.9225904388927635E-3</v>
      </c>
      <c r="P8" s="7">
        <f>$B8 * IFERROR(VLOOKUP("transport|SO2|Asthma symptoms wheeze", US_national_yearly!$D:$AM, 24, FALSE) / VLOOKUP("transport|SO2|Asthma symptoms wheeze", US_national_yearly!$D:$AM, 10, FALSE), 1)</f>
        <v>8.9225904388927635E-3</v>
      </c>
      <c r="Q8" s="7">
        <f>$B8 * IFERROR(VLOOKUP("transport|SO2|Asthma symptoms wheeze", US_national_yearly!$D:$AM, 25, FALSE) / VLOOKUP("transport|SO2|Asthma symptoms wheeze", US_national_yearly!$D:$AM, 10, FALSE), 1)</f>
        <v>8.9225904388927635E-3</v>
      </c>
      <c r="R8" s="7">
        <f>$B8 * IFERROR(VLOOKUP("transport|SO2|Asthma symptoms wheeze", US_national_yearly!$D:$AM, 26, FALSE) / VLOOKUP("transport|SO2|Asthma symptoms wheeze", US_national_yearly!$D:$AM, 10, FALSE), 1)</f>
        <v>8.9225904388927635E-3</v>
      </c>
      <c r="S8" s="7">
        <f>$B8 * IFERROR(VLOOKUP("transport|SO2|Asthma symptoms wheeze", US_national_yearly!$D:$AM, 27, FALSE) / VLOOKUP("transport|SO2|Asthma symptoms wheeze", US_national_yearly!$D:$AM, 10, FALSE), 1)</f>
        <v>8.9225904388927635E-3</v>
      </c>
      <c r="T8" s="7">
        <f>$B8 * IFERROR(VLOOKUP("transport|SO2|Asthma symptoms wheeze", US_national_yearly!$D:$AM, 28, FALSE) / VLOOKUP("transport|SO2|Asthma symptoms wheeze", US_national_yearly!$D:$AM, 10, FALSE), 1)</f>
        <v>8.9225904388927635E-3</v>
      </c>
      <c r="U8" s="7">
        <f>$B8 * IFERROR(VLOOKUP("transport|SO2|Asthma symptoms wheeze", US_national_yearly!$D:$AM, 29, FALSE) / VLOOKUP("transport|SO2|Asthma symptoms wheeze", US_national_yearly!$D:$AM, 10, FALSE), 1)</f>
        <v>8.9225904388927635E-3</v>
      </c>
      <c r="V8" s="7">
        <f>$B8 * IFERROR(VLOOKUP("transport|SO2|Asthma symptoms wheeze", US_national_yearly!$D:$AM, 30, FALSE) / VLOOKUP("transport|SO2|Asthma symptoms wheeze", US_national_yearly!$D:$AM, 10, FALSE), 1)</f>
        <v>8.9225904388927635E-3</v>
      </c>
      <c r="W8" s="7">
        <f>$B8 * IFERROR(VLOOKUP("transport|SO2|Asthma symptoms wheeze", US_national_yearly!$D:$AM, 31, FALSE) / VLOOKUP("transport|SO2|Asthma symptoms wheeze", US_national_yearly!$D:$AM, 10, FALSE), 1)</f>
        <v>8.9225904388927635E-3</v>
      </c>
      <c r="X8" s="7">
        <f>$B8 * IFERROR(VLOOKUP("transport|SO2|Asthma symptoms wheeze", US_national_yearly!$D:$AM, 32, FALSE) / VLOOKUP("transport|SO2|Asthma symptoms wheeze", US_national_yearly!$D:$AM, 10, FALSE), 1)</f>
        <v>8.9225904388927635E-3</v>
      </c>
      <c r="Y8" s="7">
        <f>$B8 * IFERROR(VLOOKUP("transport|SO2|Asthma symptoms wheeze", US_national_yearly!$D:$AM, 33, FALSE) / VLOOKUP("transport|SO2|Asthma symptoms wheeze", US_national_yearly!$D:$AM, 10, FALSE), 1)</f>
        <v>8.9225904388927635E-3</v>
      </c>
      <c r="Z8" s="7">
        <f>$B8 * IFERROR(VLOOKUP("transport|SO2|Asthma symptoms wheeze", US_national_yearly!$D:$AM, 34, FALSE) / VLOOKUP("transport|SO2|Asthma symptoms wheeze", US_national_yearly!$D:$AM, 10, FALSE), 1)</f>
        <v>8.9225904388927635E-3</v>
      </c>
      <c r="AA8" s="7">
        <f>$B8 * IFERROR(VLOOKUP("transport|SO2|Asthma symptoms wheeze", US_national_yearly!$D:$AM, 35, FALSE) / VLOOKUP("transport|SO2|Asthma symptoms wheeze", US_national_yearly!$D:$AM, 10, FALSE), 1)</f>
        <v>8.9225904388927635E-3</v>
      </c>
      <c r="AB8" s="7">
        <f>$B8 * IFERROR(VLOOKUP("transport|SO2|Asthma symptoms wheeze", US_national_yearly!$D:$AM, 36, FALSE) / VLOOKUP("transport|SO2|Asthma symptoms wheeze", US_national_yearly!$D:$AM, 10, FALSE), 1)</f>
        <v>8.9225904388927635E-3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1.5257872555464696E-4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1.5347864246035271E-4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1.5437855936605843E-4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1.5527847627176417E-4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1.5617839317746992E-4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1.5715945439456882E-4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1.5814051561166773E-4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1.5910795878092804E-4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1.6007540195018836E-4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1.6104284511944865E-4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1.6201028828870896E-4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1.6297773145796922E-4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1.6368393510791531E-4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1.6439013875786134E-4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1.6509634240780737E-4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1.6580254605775345E-4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1.6650874970769948E-4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1.6718241410488904E-4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1.6785607850207854E-4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1.6852974289926806E-4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1.6920340729645759E-4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1.6987707169364714E-4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1.7051626860402992E-4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1.7115546551441273E-4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1.7179466242479551E-4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1.7243385933517831E-4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1.7307305624556112E-4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9.1700867412440156E-4</v>
      </c>
      <c r="C13" s="7">
        <f>$B13 * IFERROR(VLOOKUP("transport|SO2|Non-fatal heart attacks", US_national_yearly!$D:$AM, 11, FALSE) / VLOOKUP("transport|SO2|Non-fatal heart attacks", US_national_yearly!$D:$AM, 10, FALSE), 1)</f>
        <v>9.4392871803856157E-4</v>
      </c>
      <c r="D13" s="7">
        <f>$B13 * IFERROR(VLOOKUP("transport|SO2|Non-fatal heart attacks", US_national_yearly!$D:$AM, 12, FALSE) / VLOOKUP("transport|SO2|Non-fatal heart attacks", US_national_yearly!$D:$AM, 10, FALSE), 1)</f>
        <v>9.7084876195272147E-4</v>
      </c>
      <c r="E13" s="7">
        <f>$B13 * IFERROR(VLOOKUP("transport|SO2|Non-fatal heart attacks", US_national_yearly!$D:$AM, 13, FALSE) / VLOOKUP("transport|SO2|Non-fatal heart attacks", US_national_yearly!$D:$AM, 10, FALSE), 1)</f>
        <v>9.9776880586688148E-4</v>
      </c>
      <c r="F13" s="7">
        <f>$B13 * IFERROR(VLOOKUP("transport|SO2|Non-fatal heart attacks", US_national_yearly!$D:$AM, 14, FALSE) / VLOOKUP("transport|SO2|Non-fatal heart attacks", US_national_yearly!$D:$AM, 10, FALSE), 1)</f>
        <v>1.0246888497810413E-3</v>
      </c>
      <c r="G13" s="7">
        <f>$B13 * IFERROR(VLOOKUP("transport|SO2|Non-fatal heart attacks", US_national_yearly!$D:$AM, 15, FALSE) / VLOOKUP("transport|SO2|Non-fatal heart attacks", US_national_yearly!$D:$AM, 10, FALSE), 1)</f>
        <v>1.0500769481787077E-3</v>
      </c>
      <c r="H13" s="7">
        <f>$B13 * IFERROR(VLOOKUP("transport|SO2|Non-fatal heart attacks", US_national_yearly!$D:$AM, 16, FALSE) / VLOOKUP("transport|SO2|Non-fatal heart attacks", US_national_yearly!$D:$AM, 10, FALSE), 1)</f>
        <v>1.0754650465763741E-3</v>
      </c>
      <c r="I13" s="7">
        <f>$B13 * IFERROR(VLOOKUP("transport|SO2|Non-fatal heart attacks", US_national_yearly!$D:$AM, 17, FALSE) / VLOOKUP("transport|SO2|Non-fatal heart attacks", US_national_yearly!$D:$AM, 10, FALSE), 1)</f>
        <v>1.0958945069857349E-3</v>
      </c>
      <c r="J13" s="7">
        <f>$B13 * IFERROR(VLOOKUP("transport|SO2|Non-fatal heart attacks", US_national_yearly!$D:$AM, 18, FALSE) / VLOOKUP("transport|SO2|Non-fatal heart attacks", US_national_yearly!$D:$AM, 10, FALSE), 1)</f>
        <v>1.1163239673950957E-3</v>
      </c>
      <c r="K13" s="7">
        <f>$B13 * IFERROR(VLOOKUP("transport|SO2|Non-fatal heart attacks", US_national_yearly!$D:$AM, 19, FALSE) / VLOOKUP("transport|SO2|Non-fatal heart attacks", US_national_yearly!$D:$AM, 10, FALSE), 1)</f>
        <v>1.1367534278044565E-3</v>
      </c>
      <c r="L13" s="7">
        <f>$B13 * IFERROR(VLOOKUP("transport|SO2|Non-fatal heart attacks", US_national_yearly!$D:$AM, 20, FALSE) / VLOOKUP("transport|SO2|Non-fatal heart attacks", US_national_yearly!$D:$AM, 10, FALSE), 1)</f>
        <v>1.1571828882138175E-3</v>
      </c>
      <c r="M13" s="7">
        <f>$B13 * IFERROR(VLOOKUP("transport|SO2|Non-fatal heart attacks", US_national_yearly!$D:$AM, 21, FALSE) / VLOOKUP("transport|SO2|Non-fatal heart attacks", US_national_yearly!$D:$AM, 10, FALSE), 1)</f>
        <v>1.1776123486231783E-3</v>
      </c>
      <c r="N13" s="7">
        <f>$B13 * IFERROR(VLOOKUP("transport|SO2|Non-fatal heart attacks", US_national_yearly!$D:$AM, 22, FALSE) / VLOOKUP("transport|SO2|Non-fatal heart attacks", US_national_yearly!$D:$AM, 10, FALSE), 1)</f>
        <v>1.1908774440876047E-3</v>
      </c>
      <c r="O13" s="7">
        <f>$B13 * IFERROR(VLOOKUP("transport|SO2|Non-fatal heart attacks", US_national_yearly!$D:$AM, 23, FALSE) / VLOOKUP("transport|SO2|Non-fatal heart attacks", US_national_yearly!$D:$AM, 10, FALSE), 1)</f>
        <v>1.2041425395520316E-3</v>
      </c>
      <c r="P13" s="7">
        <f>$B13 * IFERROR(VLOOKUP("transport|SO2|Non-fatal heart attacks", US_national_yearly!$D:$AM, 24, FALSE) / VLOOKUP("transport|SO2|Non-fatal heart attacks", US_national_yearly!$D:$AM, 10, FALSE), 1)</f>
        <v>1.2174076350164585E-3</v>
      </c>
      <c r="Q13" s="7">
        <f>$B13 * IFERROR(VLOOKUP("transport|SO2|Non-fatal heart attacks", US_national_yearly!$D:$AM, 25, FALSE) / VLOOKUP("transport|SO2|Non-fatal heart attacks", US_national_yearly!$D:$AM, 10, FALSE), 1)</f>
        <v>1.2306727304808851E-3</v>
      </c>
      <c r="R13" s="7">
        <f>$B13 * IFERROR(VLOOKUP("transport|SO2|Non-fatal heart attacks", US_national_yearly!$D:$AM, 26, FALSE) / VLOOKUP("transport|SO2|Non-fatal heart attacks", US_national_yearly!$D:$AM, 10, FALSE), 1)</f>
        <v>1.2439378259453118E-3</v>
      </c>
      <c r="S13" s="7">
        <f>$B13 * IFERROR(VLOOKUP("transport|SO2|Non-fatal heart attacks", US_national_yearly!$D:$AM, 27, FALSE) / VLOOKUP("transport|SO2|Non-fatal heart attacks", US_national_yearly!$D:$AM, 10, FALSE), 1)</f>
        <v>1.2508634576739253E-3</v>
      </c>
      <c r="T13" s="7">
        <f>$B13 * IFERROR(VLOOKUP("transport|SO2|Non-fatal heart attacks", US_national_yearly!$D:$AM, 28, FALSE) / VLOOKUP("transport|SO2|Non-fatal heart attacks", US_national_yearly!$D:$AM, 10, FALSE), 1)</f>
        <v>1.257789089402539E-3</v>
      </c>
      <c r="U13" s="7">
        <f>$B13 * IFERROR(VLOOKUP("transport|SO2|Non-fatal heart attacks", US_national_yearly!$D:$AM, 29, FALSE) / VLOOKUP("transport|SO2|Non-fatal heart attacks", US_national_yearly!$D:$AM, 10, FALSE), 1)</f>
        <v>1.2647147211311523E-3</v>
      </c>
      <c r="V13" s="7">
        <f>$B13 * IFERROR(VLOOKUP("transport|SO2|Non-fatal heart attacks", US_national_yearly!$D:$AM, 30, FALSE) / VLOOKUP("transport|SO2|Non-fatal heart attacks", US_national_yearly!$D:$AM, 10, FALSE), 1)</f>
        <v>1.2716403528597656E-3</v>
      </c>
      <c r="W13" s="7">
        <f>$B13 * IFERROR(VLOOKUP("transport|SO2|Non-fatal heart attacks", US_national_yearly!$D:$AM, 31, FALSE) / VLOOKUP("transport|SO2|Non-fatal heart attacks", US_national_yearly!$D:$AM, 10, FALSE), 1)</f>
        <v>1.2785659845883795E-3</v>
      </c>
      <c r="X13" s="7">
        <f>$B13 * IFERROR(VLOOKUP("transport|SO2|Non-fatal heart attacks", US_national_yearly!$D:$AM, 32, FALSE) / VLOOKUP("transport|SO2|Non-fatal heart attacks", US_national_yearly!$D:$AM, 10, FALSE), 1)</f>
        <v>1.2837942307318034E-3</v>
      </c>
      <c r="Y13" s="7">
        <f>$B13 * IFERROR(VLOOKUP("transport|SO2|Non-fatal heart attacks", US_national_yearly!$D:$AM, 33, FALSE) / VLOOKUP("transport|SO2|Non-fatal heart attacks", US_national_yearly!$D:$AM, 10, FALSE), 1)</f>
        <v>1.2890224768752274E-3</v>
      </c>
      <c r="Z13" s="7">
        <f>$B13 * IFERROR(VLOOKUP("transport|SO2|Non-fatal heart attacks", US_national_yearly!$D:$AM, 34, FALSE) / VLOOKUP("transport|SO2|Non-fatal heart attacks", US_national_yearly!$D:$AM, 10, FALSE), 1)</f>
        <v>1.2942507230186515E-3</v>
      </c>
      <c r="AA13" s="7">
        <f>$B13 * IFERROR(VLOOKUP("transport|SO2|Non-fatal heart attacks", US_national_yearly!$D:$AM, 35, FALSE) / VLOOKUP("transport|SO2|Non-fatal heart attacks", US_national_yearly!$D:$AM, 10, FALSE), 1)</f>
        <v>1.2994789691620754E-3</v>
      </c>
      <c r="AB13" s="7">
        <f>$B13 * IFERROR(VLOOKUP("transport|SO2|Non-fatal heart attacks", US_national_yearly!$D:$AM, 36, FALSE) / VLOOKUP("transport|SO2|Non-fatal heart attacks", US_national_yearly!$D:$AM, 10, FALSE), 1)</f>
        <v>1.3047072153054996E-3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0.63128709538256422</v>
      </c>
      <c r="C14" s="7">
        <f>$B14 * IFERROR(VLOOKUP("transport|SO2|Minor restricted activity days", US_national_yearly!$D:$AM, 11, FALSE) / VLOOKUP("transport|SO2|Minor restricted activity days", US_national_yearly!$D:$AM, 10, FALSE), 1)</f>
        <v>0.63287835981001028</v>
      </c>
      <c r="D14" s="7">
        <f>$B14 * IFERROR(VLOOKUP("transport|SO2|Minor restricted activity days", US_national_yearly!$D:$AM, 12, FALSE) / VLOOKUP("transport|SO2|Minor restricted activity days", US_national_yearly!$D:$AM, 10, FALSE), 1)</f>
        <v>0.63446962423745612</v>
      </c>
      <c r="E14" s="7">
        <f>$B14 * IFERROR(VLOOKUP("transport|SO2|Minor restricted activity days", US_national_yearly!$D:$AM, 13, FALSE) / VLOOKUP("transport|SO2|Minor restricted activity days", US_national_yearly!$D:$AM, 10, FALSE), 1)</f>
        <v>0.63606088866490218</v>
      </c>
      <c r="F14" s="7">
        <f>$B14 * IFERROR(VLOOKUP("transport|SO2|Minor restricted activity days", US_national_yearly!$D:$AM, 14, FALSE) / VLOOKUP("transport|SO2|Minor restricted activity days", US_national_yearly!$D:$AM, 10, FALSE), 1)</f>
        <v>0.63765215309234802</v>
      </c>
      <c r="G14" s="7">
        <f>$B14 * IFERROR(VLOOKUP("transport|SO2|Minor restricted activity days", US_national_yearly!$D:$AM, 15, FALSE) / VLOOKUP("transport|SO2|Minor restricted activity days", US_national_yearly!$D:$AM, 10, FALSE), 1)</f>
        <v>0.63999433800285832</v>
      </c>
      <c r="H14" s="7">
        <f>$B14 * IFERROR(VLOOKUP("transport|SO2|Minor restricted activity days", US_national_yearly!$D:$AM, 16, FALSE) / VLOOKUP("transport|SO2|Minor restricted activity days", US_national_yearly!$D:$AM, 10, FALSE), 1)</f>
        <v>0.64233652291336851</v>
      </c>
      <c r="I14" s="7">
        <f>$B14 * IFERROR(VLOOKUP("transport|SO2|Minor restricted activity days", US_national_yearly!$D:$AM, 17, FALSE) / VLOOKUP("transport|SO2|Minor restricted activity days", US_national_yearly!$D:$AM, 10, FALSE), 1)</f>
        <v>0.64633090096103119</v>
      </c>
      <c r="J14" s="7">
        <f>$B14 * IFERROR(VLOOKUP("transport|SO2|Minor restricted activity days", US_national_yearly!$D:$AM, 18, FALSE) / VLOOKUP("transport|SO2|Minor restricted activity days", US_national_yearly!$D:$AM, 10, FALSE), 1)</f>
        <v>0.65032527900869386</v>
      </c>
      <c r="K14" s="7">
        <f>$B14 * IFERROR(VLOOKUP("transport|SO2|Minor restricted activity days", US_national_yearly!$D:$AM, 19, FALSE) / VLOOKUP("transport|SO2|Minor restricted activity days", US_national_yearly!$D:$AM, 10, FALSE), 1)</f>
        <v>0.65431965705635675</v>
      </c>
      <c r="L14" s="7">
        <f>$B14 * IFERROR(VLOOKUP("transport|SO2|Minor restricted activity days", US_national_yearly!$D:$AM, 20, FALSE) / VLOOKUP("transport|SO2|Minor restricted activity days", US_national_yearly!$D:$AM, 10, FALSE), 1)</f>
        <v>0.65831403510401942</v>
      </c>
      <c r="M14" s="7">
        <f>$B14 * IFERROR(VLOOKUP("transport|SO2|Minor restricted activity days", US_national_yearly!$D:$AM, 21, FALSE) / VLOOKUP("transport|SO2|Minor restricted activity days", US_national_yearly!$D:$AM, 10, FALSE), 1)</f>
        <v>0.6623084131516821</v>
      </c>
      <c r="N14" s="7">
        <f>$B14 * IFERROR(VLOOKUP("transport|SO2|Minor restricted activity days", US_national_yearly!$D:$AM, 22, FALSE) / VLOOKUP("transport|SO2|Minor restricted activity days", US_national_yearly!$D:$AM, 10, FALSE), 1)</f>
        <v>0.6677720813870639</v>
      </c>
      <c r="O14" s="7">
        <f>$B14 * IFERROR(VLOOKUP("transport|SO2|Minor restricted activity days", US_national_yearly!$D:$AM, 23, FALSE) / VLOOKUP("transport|SO2|Minor restricted activity days", US_national_yearly!$D:$AM, 10, FALSE), 1)</f>
        <v>0.67323574962244559</v>
      </c>
      <c r="P14" s="7">
        <f>$B14 * IFERROR(VLOOKUP("transport|SO2|Minor restricted activity days", US_national_yearly!$D:$AM, 24, FALSE) / VLOOKUP("transport|SO2|Minor restricted activity days", US_national_yearly!$D:$AM, 10, FALSE), 1)</f>
        <v>0.67869941785782728</v>
      </c>
      <c r="Q14" s="7">
        <f>$B14 * IFERROR(VLOOKUP("transport|SO2|Minor restricted activity days", US_national_yearly!$D:$AM, 25, FALSE) / VLOOKUP("transport|SO2|Minor restricted activity days", US_national_yearly!$D:$AM, 10, FALSE), 1)</f>
        <v>0.68416308609320908</v>
      </c>
      <c r="R14" s="7">
        <f>$B14 * IFERROR(VLOOKUP("transport|SO2|Minor restricted activity days", US_national_yearly!$D:$AM, 26, FALSE) / VLOOKUP("transport|SO2|Minor restricted activity days", US_national_yearly!$D:$AM, 10, FALSE), 1)</f>
        <v>0.68962675432859077</v>
      </c>
      <c r="S14" s="7">
        <f>$B14 * IFERROR(VLOOKUP("transport|SO2|Minor restricted activity days", US_national_yearly!$D:$AM, 27, FALSE) / VLOOKUP("transport|SO2|Minor restricted activity days", US_national_yearly!$D:$AM, 10, FALSE), 1)</f>
        <v>0.69519749884521687</v>
      </c>
      <c r="T14" s="7">
        <f>$B14 * IFERROR(VLOOKUP("transport|SO2|Minor restricted activity days", US_national_yearly!$D:$AM, 28, FALSE) / VLOOKUP("transport|SO2|Minor restricted activity days", US_national_yearly!$D:$AM, 10, FALSE), 1)</f>
        <v>0.70076824336184296</v>
      </c>
      <c r="U14" s="7">
        <f>$B14 * IFERROR(VLOOKUP("transport|SO2|Minor restricted activity days", US_national_yearly!$D:$AM, 29, FALSE) / VLOOKUP("transport|SO2|Minor restricted activity days", US_national_yearly!$D:$AM, 10, FALSE), 1)</f>
        <v>0.70633898787846905</v>
      </c>
      <c r="V14" s="7">
        <f>$B14 * IFERROR(VLOOKUP("transport|SO2|Minor restricted activity days", US_national_yearly!$D:$AM, 30, FALSE) / VLOOKUP("transport|SO2|Minor restricted activity days", US_national_yearly!$D:$AM, 10, FALSE), 1)</f>
        <v>0.71190973239509514</v>
      </c>
      <c r="W14" s="7">
        <f>$B14 * IFERROR(VLOOKUP("transport|SO2|Minor restricted activity days", US_national_yearly!$D:$AM, 31, FALSE) / VLOOKUP("transport|SO2|Minor restricted activity days", US_national_yearly!$D:$AM, 10, FALSE), 1)</f>
        <v>0.71748047691172145</v>
      </c>
      <c r="X14" s="7">
        <f>$B14 * IFERROR(VLOOKUP("transport|SO2|Minor restricted activity days", US_national_yearly!$D:$AM, 32, FALSE) / VLOOKUP("transport|SO2|Minor restricted activity days", US_national_yearly!$D:$AM, 10, FALSE), 1)</f>
        <v>0.72237950278805707</v>
      </c>
      <c r="Y14" s="7">
        <f>$B14 * IFERROR(VLOOKUP("transport|SO2|Minor restricted activity days", US_national_yearly!$D:$AM, 33, FALSE) / VLOOKUP("transport|SO2|Minor restricted activity days", US_national_yearly!$D:$AM, 10, FALSE), 1)</f>
        <v>0.72727852866439269</v>
      </c>
      <c r="Z14" s="7">
        <f>$B14 * IFERROR(VLOOKUP("transport|SO2|Minor restricted activity days", US_national_yearly!$D:$AM, 34, FALSE) / VLOOKUP("transport|SO2|Minor restricted activity days", US_national_yearly!$D:$AM, 10, FALSE), 1)</f>
        <v>0.73217755454072841</v>
      </c>
      <c r="AA14" s="7">
        <f>$B14 * IFERROR(VLOOKUP("transport|SO2|Minor restricted activity days", US_national_yearly!$D:$AM, 35, FALSE) / VLOOKUP("transport|SO2|Minor restricted activity days", US_national_yearly!$D:$AM, 10, FALSE), 1)</f>
        <v>0.73707658041706403</v>
      </c>
      <c r="AB14" s="7">
        <f>$B14 * IFERROR(VLOOKUP("transport|SO2|Minor restricted activity days", US_national_yearly!$D:$AM, 36, FALSE) / VLOOKUP("transport|SO2|Minor restricted activity days", US_national_yearly!$D:$AM, 10, FALSE), 1)</f>
        <v>0.74197560629339976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0.10580626014260923</v>
      </c>
      <c r="C15" s="7">
        <f>$B15 * IFERROR(VLOOKUP("transport|SO2|Work loss days", US_national_yearly!$D:$AM, 11, FALSE) / VLOOKUP("transport|SO2|Work loss days", US_national_yearly!$D:$AM, 10, FALSE), 1)</f>
        <v>0.10614905560905372</v>
      </c>
      <c r="D15" s="7">
        <f>$B15 * IFERROR(VLOOKUP("transport|SO2|Work loss days", US_national_yearly!$D:$AM, 12, FALSE) / VLOOKUP("transport|SO2|Work loss days", US_national_yearly!$D:$AM, 10, FALSE), 1)</f>
        <v>0.10649185107549822</v>
      </c>
      <c r="E15" s="7">
        <f>$B15 * IFERROR(VLOOKUP("transport|SO2|Work loss days", US_national_yearly!$D:$AM, 13, FALSE) / VLOOKUP("transport|SO2|Work loss days", US_national_yearly!$D:$AM, 10, FALSE), 1)</f>
        <v>0.1068346465419427</v>
      </c>
      <c r="F15" s="7">
        <f>$B15 * IFERROR(VLOOKUP("transport|SO2|Work loss days", US_national_yearly!$D:$AM, 14, FALSE) / VLOOKUP("transport|SO2|Work loss days", US_national_yearly!$D:$AM, 10, FALSE), 1)</f>
        <v>0.10717744200838721</v>
      </c>
      <c r="G15" s="7">
        <f>$B15 * IFERROR(VLOOKUP("transport|SO2|Work loss days", US_national_yearly!$D:$AM, 15, FALSE) / VLOOKUP("transport|SO2|Work loss days", US_national_yearly!$D:$AM, 10, FALSE), 1)</f>
        <v>0.10762534622900312</v>
      </c>
      <c r="H15" s="7">
        <f>$B15 * IFERROR(VLOOKUP("transport|SO2|Work loss days", US_national_yearly!$D:$AM, 16, FALSE) / VLOOKUP("transport|SO2|Work loss days", US_national_yearly!$D:$AM, 10, FALSE), 1)</f>
        <v>0.108073250449619</v>
      </c>
      <c r="I15" s="7">
        <f>$B15 * IFERROR(VLOOKUP("transport|SO2|Work loss days", US_national_yearly!$D:$AM, 17, FALSE) / VLOOKUP("transport|SO2|Work loss days", US_national_yearly!$D:$AM, 10, FALSE), 1)</f>
        <v>0.10872847419757628</v>
      </c>
      <c r="J15" s="7">
        <f>$B15 * IFERROR(VLOOKUP("transport|SO2|Work loss days", US_national_yearly!$D:$AM, 18, FALSE) / VLOOKUP("transport|SO2|Work loss days", US_national_yearly!$D:$AM, 10, FALSE), 1)</f>
        <v>0.10938369794553351</v>
      </c>
      <c r="K15" s="7">
        <f>$B15 * IFERROR(VLOOKUP("transport|SO2|Work loss days", US_national_yearly!$D:$AM, 19, FALSE) / VLOOKUP("transport|SO2|Work loss days", US_national_yearly!$D:$AM, 10, FALSE), 1)</f>
        <v>0.11003892169349078</v>
      </c>
      <c r="L15" s="7">
        <f>$B15 * IFERROR(VLOOKUP("transport|SO2|Work loss days", US_national_yearly!$D:$AM, 20, FALSE) / VLOOKUP("transport|SO2|Work loss days", US_national_yearly!$D:$AM, 10, FALSE), 1)</f>
        <v>0.11069414544144805</v>
      </c>
      <c r="M15" s="7">
        <f>$B15 * IFERROR(VLOOKUP("transport|SO2|Work loss days", US_national_yearly!$D:$AM, 21, FALSE) / VLOOKUP("transport|SO2|Work loss days", US_national_yearly!$D:$AM, 10, FALSE), 1)</f>
        <v>0.11134936918940531</v>
      </c>
      <c r="N15" s="7">
        <f>$B15 * IFERROR(VLOOKUP("transport|SO2|Work loss days", US_national_yearly!$D:$AM, 22, FALSE) / VLOOKUP("transport|SO2|Work loss days", US_national_yearly!$D:$AM, 10, FALSE), 1)</f>
        <v>0.11217091358995655</v>
      </c>
      <c r="O15" s="7">
        <f>$B15 * IFERROR(VLOOKUP("transport|SO2|Work loss days", US_national_yearly!$D:$AM, 23, FALSE) / VLOOKUP("transport|SO2|Work loss days", US_national_yearly!$D:$AM, 10, FALSE), 1)</f>
        <v>0.11299245799050779</v>
      </c>
      <c r="P15" s="7">
        <f>$B15 * IFERROR(VLOOKUP("transport|SO2|Work loss days", US_national_yearly!$D:$AM, 24, FALSE) / VLOOKUP("transport|SO2|Work loss days", US_national_yearly!$D:$AM, 10, FALSE), 1)</f>
        <v>0.113814002391059</v>
      </c>
      <c r="Q15" s="7">
        <f>$B15 * IFERROR(VLOOKUP("transport|SO2|Work loss days", US_national_yearly!$D:$AM, 25, FALSE) / VLOOKUP("transport|SO2|Work loss days", US_national_yearly!$D:$AM, 10, FALSE), 1)</f>
        <v>0.11463554679161023</v>
      </c>
      <c r="R15" s="7">
        <f>$B15 * IFERROR(VLOOKUP("transport|SO2|Work loss days", US_national_yearly!$D:$AM, 26, FALSE) / VLOOKUP("transport|SO2|Work loss days", US_national_yearly!$D:$AM, 10, FALSE), 1)</f>
        <v>0.11545709119216147</v>
      </c>
      <c r="S15" s="7">
        <f>$B15 * IFERROR(VLOOKUP("transport|SO2|Work loss days", US_national_yearly!$D:$AM, 27, FALSE) / VLOOKUP("transport|SO2|Work loss days", US_national_yearly!$D:$AM, 10, FALSE), 1)</f>
        <v>0.11637516435118017</v>
      </c>
      <c r="T15" s="7">
        <f>$B15 * IFERROR(VLOOKUP("transport|SO2|Work loss days", US_national_yearly!$D:$AM, 28, FALSE) / VLOOKUP("transport|SO2|Work loss days", US_national_yearly!$D:$AM, 10, FALSE), 1)</f>
        <v>0.11729323751019891</v>
      </c>
      <c r="U15" s="7">
        <f>$B15 * IFERROR(VLOOKUP("transport|SO2|Work loss days", US_national_yearly!$D:$AM, 29, FALSE) / VLOOKUP("transport|SO2|Work loss days", US_national_yearly!$D:$AM, 10, FALSE), 1)</f>
        <v>0.11821131066921761</v>
      </c>
      <c r="V15" s="7">
        <f>$B15 * IFERROR(VLOOKUP("transport|SO2|Work loss days", US_national_yearly!$D:$AM, 30, FALSE) / VLOOKUP("transport|SO2|Work loss days", US_national_yearly!$D:$AM, 10, FALSE), 1)</f>
        <v>0.11912938382823632</v>
      </c>
      <c r="W15" s="7">
        <f>$B15 * IFERROR(VLOOKUP("transport|SO2|Work loss days", US_national_yearly!$D:$AM, 31, FALSE) / VLOOKUP("transport|SO2|Work loss days", US_national_yearly!$D:$AM, 10, FALSE), 1)</f>
        <v>0.12004745698725504</v>
      </c>
      <c r="X15" s="7">
        <f>$B15 * IFERROR(VLOOKUP("transport|SO2|Work loss days", US_national_yearly!$D:$AM, 32, FALSE) / VLOOKUP("transport|SO2|Work loss days", US_national_yearly!$D:$AM, 10, FALSE), 1)</f>
        <v>0.12087176013995693</v>
      </c>
      <c r="Y15" s="7">
        <f>$B15 * IFERROR(VLOOKUP("transport|SO2|Work loss days", US_national_yearly!$D:$AM, 33, FALSE) / VLOOKUP("transport|SO2|Work loss days", US_national_yearly!$D:$AM, 10, FALSE), 1)</f>
        <v>0.12169606329265885</v>
      </c>
      <c r="Z15" s="7">
        <f>$B15 * IFERROR(VLOOKUP("transport|SO2|Work loss days", US_national_yearly!$D:$AM, 34, FALSE) / VLOOKUP("transport|SO2|Work loss days", US_national_yearly!$D:$AM, 10, FALSE), 1)</f>
        <v>0.12252036644536077</v>
      </c>
      <c r="AA15" s="7">
        <f>$B15 * IFERROR(VLOOKUP("transport|SO2|Work loss days", US_national_yearly!$D:$AM, 35, FALSE) / VLOOKUP("transport|SO2|Work loss days", US_national_yearly!$D:$AM, 10, FALSE), 1)</f>
        <v>0.12334466959806269</v>
      </c>
      <c r="AB15" s="7">
        <f>$B15 * IFERROR(VLOOKUP("transport|SO2|Work loss days", US_national_yearly!$D:$AM, 36, FALSE) / VLOOKUP("transport|SO2|Work loss days", US_national_yearly!$D:$AM, 10, FALSE), 1)</f>
        <v>0.12416897275076459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2.2588487998769925E-4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2.3271650376700451E-4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2.3954812754630977E-4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2.4637975132561502E-4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2.5321137510492031E-4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2.5975542109960698E-4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2.662994670942937E-4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2.7190643745231253E-4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2.7751340781033131E-4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2.8312037816835014E-4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2.8872734852636891E-4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2.9433431888438769E-4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2.9810092575447946E-4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3.0186753262457123E-4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3.0563413949466294E-4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3.0940074636475471E-4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3.1316735323484648E-4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3.1514832026585514E-4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3.1712928729686374E-4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3.1911025432787235E-4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3.2109122135888101E-4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3.2307218838988961E-4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3.2440207704357259E-4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3.2573196569725551E-4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3.2706185435093848E-4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3.2839174300462151E-4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3.2972163165830438E-4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9.4333556860418926E-3</v>
      </c>
      <c r="C2" s="7">
        <f>$B2 * IFERROR(VLOOKUP("electricity|PM25|Premature mortality", US_national_yearly!$D:$AM, 11, FALSE) / VLOOKUP("electricity|PM25|Premature mortality", US_national_yearly!$D:$AM, 10, FALSE), 1)</f>
        <v>9.5501994722342158E-3</v>
      </c>
      <c r="D2" s="7">
        <f>$B2 * IFERROR(VLOOKUP("electricity|PM25|Premature mortality", US_national_yearly!$D:$AM, 12, FALSE) / VLOOKUP("electricity|PM25|Premature mortality", US_national_yearly!$D:$AM, 10, FALSE), 1)</f>
        <v>9.667043258426539E-3</v>
      </c>
      <c r="E2" s="7">
        <f>$B2 * IFERROR(VLOOKUP("electricity|PM25|Premature mortality", US_national_yearly!$D:$AM, 13, FALSE) / VLOOKUP("electricity|PM25|Premature mortality", US_national_yearly!$D:$AM, 10, FALSE), 1)</f>
        <v>9.783887044618864E-3</v>
      </c>
      <c r="F2" s="7">
        <f>$B2 * IFERROR(VLOOKUP("electricity|PM25|Premature mortality", US_national_yearly!$D:$AM, 14, FALSE) / VLOOKUP("electricity|PM25|Premature mortality", US_national_yearly!$D:$AM, 10, FALSE), 1)</f>
        <v>9.9007308308111889E-3</v>
      </c>
      <c r="G2" s="7">
        <f>$B2 * IFERROR(VLOOKUP("electricity|PM25|Premature mortality", US_national_yearly!$D:$AM, 15, FALSE) / VLOOKUP("electricity|PM25|Premature mortality", US_national_yearly!$D:$AM, 10, FALSE), 1)</f>
        <v>1.013021824084118E-2</v>
      </c>
      <c r="H2" s="7">
        <f>$B2 * IFERROR(VLOOKUP("electricity|PM25|Premature mortality", US_national_yearly!$D:$AM, 16, FALSE) / VLOOKUP("electricity|PM25|Premature mortality", US_national_yearly!$D:$AM, 10, FALSE), 1)</f>
        <v>1.0359705650871173E-2</v>
      </c>
      <c r="I2" s="7">
        <f>$B2 * IFERROR(VLOOKUP("electricity|PM25|Premature mortality", US_national_yearly!$D:$AM, 17, FALSE) / VLOOKUP("electricity|PM25|Premature mortality", US_national_yearly!$D:$AM, 10, FALSE), 1)</f>
        <v>1.0513900191021932E-2</v>
      </c>
      <c r="J2" s="7">
        <f>$B2 * IFERROR(VLOOKUP("electricity|PM25|Premature mortality", US_national_yearly!$D:$AM, 18, FALSE) / VLOOKUP("electricity|PM25|Premature mortality", US_national_yearly!$D:$AM, 10, FALSE), 1)</f>
        <v>1.0668094731172691E-2</v>
      </c>
      <c r="K2" s="7">
        <f>$B2 * IFERROR(VLOOKUP("electricity|PM25|Premature mortality", US_national_yearly!$D:$AM, 19, FALSE) / VLOOKUP("electricity|PM25|Premature mortality", US_national_yearly!$D:$AM, 10, FALSE), 1)</f>
        <v>1.0822289271323449E-2</v>
      </c>
      <c r="L2" s="7">
        <f>$B2 * IFERROR(VLOOKUP("electricity|PM25|Premature mortality", US_national_yearly!$D:$AM, 20, FALSE) / VLOOKUP("electricity|PM25|Premature mortality", US_national_yearly!$D:$AM, 10, FALSE), 1)</f>
        <v>1.0976483811474209E-2</v>
      </c>
      <c r="M2" s="7">
        <f>$B2 * IFERROR(VLOOKUP("electricity|PM25|Premature mortality", US_national_yearly!$D:$AM, 21, FALSE) / VLOOKUP("electricity|PM25|Premature mortality", US_national_yearly!$D:$AM, 10, FALSE), 1)</f>
        <v>1.1130678351624967E-2</v>
      </c>
      <c r="N2" s="7">
        <f>$B2 * IFERROR(VLOOKUP("electricity|PM25|Premature mortality", US_national_yearly!$D:$AM, 22, FALSE) / VLOOKUP("electricity|PM25|Premature mortality", US_national_yearly!$D:$AM, 10, FALSE), 1)</f>
        <v>1.1253588857491377E-2</v>
      </c>
      <c r="O2" s="7">
        <f>$B2 * IFERROR(VLOOKUP("electricity|PM25|Premature mortality", US_national_yearly!$D:$AM, 23, FALSE) / VLOOKUP("electricity|PM25|Premature mortality", US_national_yearly!$D:$AM, 10, FALSE), 1)</f>
        <v>1.1376499363357785E-2</v>
      </c>
      <c r="P2" s="7">
        <f>$B2 * IFERROR(VLOOKUP("electricity|PM25|Premature mortality", US_national_yearly!$D:$AM, 24, FALSE) / VLOOKUP("electricity|PM25|Premature mortality", US_national_yearly!$D:$AM, 10, FALSE), 1)</f>
        <v>1.1499409869224195E-2</v>
      </c>
      <c r="Q2" s="7">
        <f>$B2 * IFERROR(VLOOKUP("electricity|PM25|Premature mortality", US_national_yearly!$D:$AM, 25, FALSE) / VLOOKUP("electricity|PM25|Premature mortality", US_national_yearly!$D:$AM, 10, FALSE), 1)</f>
        <v>1.1622320375090603E-2</v>
      </c>
      <c r="R2" s="7">
        <f>$B2 * IFERROR(VLOOKUP("electricity|PM25|Premature mortality", US_national_yearly!$D:$AM, 26, FALSE) / VLOOKUP("electricity|PM25|Premature mortality", US_national_yearly!$D:$AM, 10, FALSE), 1)</f>
        <v>1.1745230880957013E-2</v>
      </c>
      <c r="S2" s="7">
        <f>$B2 * IFERROR(VLOOKUP("electricity|PM25|Premature mortality", US_national_yearly!$D:$AM, 27, FALSE) / VLOOKUP("electricity|PM25|Premature mortality", US_national_yearly!$D:$AM, 10, FALSE), 1)</f>
        <v>1.1815560931183128E-2</v>
      </c>
      <c r="T2" s="7">
        <f>$B2 * IFERROR(VLOOKUP("electricity|PM25|Premature mortality", US_national_yearly!$D:$AM, 28, FALSE) / VLOOKUP("electricity|PM25|Premature mortality", US_national_yearly!$D:$AM, 10, FALSE), 1)</f>
        <v>1.1885890981409243E-2</v>
      </c>
      <c r="U2" s="7">
        <f>$B2 * IFERROR(VLOOKUP("electricity|PM25|Premature mortality", US_national_yearly!$D:$AM, 29, FALSE) / VLOOKUP("electricity|PM25|Premature mortality", US_national_yearly!$D:$AM, 10, FALSE), 1)</f>
        <v>1.1956221031635361E-2</v>
      </c>
      <c r="V2" s="7">
        <f>$B2 * IFERROR(VLOOKUP("electricity|PM25|Premature mortality", US_national_yearly!$D:$AM, 30, FALSE) / VLOOKUP("electricity|PM25|Premature mortality", US_national_yearly!$D:$AM, 10, FALSE), 1)</f>
        <v>1.2026551081861476E-2</v>
      </c>
      <c r="W2" s="7">
        <f>$B2 * IFERROR(VLOOKUP("electricity|PM25|Premature mortality", US_national_yearly!$D:$AM, 31, FALSE) / VLOOKUP("electricity|PM25|Premature mortality", US_national_yearly!$D:$AM, 10, FALSE), 1)</f>
        <v>1.2096881132087591E-2</v>
      </c>
      <c r="X2" s="7">
        <f>$B2 * IFERROR(VLOOKUP("electricity|PM25|Premature mortality", US_national_yearly!$D:$AM, 32, FALSE) / VLOOKUP("electricity|PM25|Premature mortality", US_national_yearly!$D:$AM, 10, FALSE), 1)</f>
        <v>1.2116418365314945E-2</v>
      </c>
      <c r="Y2" s="7">
        <f>$B2 * IFERROR(VLOOKUP("electricity|PM25|Premature mortality", US_national_yearly!$D:$AM, 33, FALSE) / VLOOKUP("electricity|PM25|Premature mortality", US_national_yearly!$D:$AM, 10, FALSE), 1)</f>
        <v>1.2135955598542298E-2</v>
      </c>
      <c r="Z2" s="7">
        <f>$B2 * IFERROR(VLOOKUP("electricity|PM25|Premature mortality", US_national_yearly!$D:$AM, 34, FALSE) / VLOOKUP("electricity|PM25|Premature mortality", US_national_yearly!$D:$AM, 10, FALSE), 1)</f>
        <v>1.2155492831769652E-2</v>
      </c>
      <c r="AA2" s="7">
        <f>$B2 * IFERROR(VLOOKUP("electricity|PM25|Premature mortality", US_national_yearly!$D:$AM, 35, FALSE) / VLOOKUP("electricity|PM25|Premature mortality", US_national_yearly!$D:$AM, 10, FALSE), 1)</f>
        <v>1.2175030064997006E-2</v>
      </c>
      <c r="AB2" s="7">
        <f>$B2 * IFERROR(VLOOKUP("electricity|PM25|Premature mortality", US_national_yearly!$D:$AM, 36, FALSE) / VLOOKUP("electricity|PM25|Premature mortality", US_national_yearly!$D:$AM, 10, FALSE), 1)</f>
        <v>1.219456729822436E-2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1.2265763187422171E-5</v>
      </c>
      <c r="C3" s="7">
        <f>$B3 * IFERROR(VLOOKUP("electricity|PM25|Infant mortality", US_national_yearly!$D:$AM, 11, FALSE) / VLOOKUP("electricity|PM25|Infant mortality", US_national_yearly!$D:$AM, 10, FALSE), 1)</f>
        <v>1.2158891623666283E-5</v>
      </c>
      <c r="D3" s="7">
        <f>$B3 * IFERROR(VLOOKUP("electricity|PM25|Infant mortality", US_national_yearly!$D:$AM, 12, FALSE) / VLOOKUP("electricity|PM25|Infant mortality", US_national_yearly!$D:$AM, 10, FALSE), 1)</f>
        <v>1.2052020059910399E-5</v>
      </c>
      <c r="E3" s="7">
        <f>$B3 * IFERROR(VLOOKUP("electricity|PM25|Infant mortality", US_national_yearly!$D:$AM, 13, FALSE) / VLOOKUP("electricity|PM25|Infant mortality", US_national_yearly!$D:$AM, 10, FALSE), 1)</f>
        <v>1.1945148496154512E-5</v>
      </c>
      <c r="F3" s="7">
        <f>$B3 * IFERROR(VLOOKUP("electricity|PM25|Infant mortality", US_national_yearly!$D:$AM, 14, FALSE) / VLOOKUP("electricity|PM25|Infant mortality", US_national_yearly!$D:$AM, 10, FALSE), 1)</f>
        <v>1.1838276932398624E-5</v>
      </c>
      <c r="G3" s="7">
        <f>$B3 * IFERROR(VLOOKUP("electricity|PM25|Infant mortality", US_national_yearly!$D:$AM, 15, FALSE) / VLOOKUP("electricity|PM25|Infant mortality", US_national_yearly!$D:$AM, 10, FALSE), 1)</f>
        <v>7.850776281230338E-6</v>
      </c>
      <c r="H3" s="7">
        <f>$B3 * IFERROR(VLOOKUP("electricity|PM25|Infant mortality", US_national_yearly!$D:$AM, 16, FALSE) / VLOOKUP("electricity|PM25|Infant mortality", US_national_yearly!$D:$AM, 10, FALSE), 1)</f>
        <v>3.8632756300620501E-6</v>
      </c>
      <c r="I3" s="7">
        <f>$B3 * IFERROR(VLOOKUP("electricity|PM25|Infant mortality", US_national_yearly!$D:$AM, 17, FALSE) / VLOOKUP("electricity|PM25|Infant mortality", US_national_yearly!$D:$AM, 10, FALSE), 1)</f>
        <v>3.8359991338669013E-6</v>
      </c>
      <c r="J3" s="7">
        <f>$B3 * IFERROR(VLOOKUP("electricity|PM25|Infant mortality", US_national_yearly!$D:$AM, 18, FALSE) / VLOOKUP("electricity|PM25|Infant mortality", US_national_yearly!$D:$AM, 10, FALSE), 1)</f>
        <v>3.8087226376717542E-6</v>
      </c>
      <c r="K3" s="7">
        <f>$B3 * IFERROR(VLOOKUP("electricity|PM25|Infant mortality", US_national_yearly!$D:$AM, 19, FALSE) / VLOOKUP("electricity|PM25|Infant mortality", US_national_yearly!$D:$AM, 10, FALSE), 1)</f>
        <v>3.7814461414766059E-6</v>
      </c>
      <c r="L3" s="7">
        <f>$B3 * IFERROR(VLOOKUP("electricity|PM25|Infant mortality", US_national_yearly!$D:$AM, 20, FALSE) / VLOOKUP("electricity|PM25|Infant mortality", US_national_yearly!$D:$AM, 10, FALSE), 1)</f>
        <v>3.7541696452814575E-6</v>
      </c>
      <c r="M3" s="7">
        <f>$B3 * IFERROR(VLOOKUP("electricity|PM25|Infant mortality", US_national_yearly!$D:$AM, 21, FALSE) / VLOOKUP("electricity|PM25|Infant mortality", US_national_yearly!$D:$AM, 10, FALSE), 1)</f>
        <v>3.7268931490863096E-6</v>
      </c>
      <c r="N3" s="7">
        <f>$B3 * IFERROR(VLOOKUP("electricity|PM25|Infant mortality", US_national_yearly!$D:$AM, 22, FALSE) / VLOOKUP("electricity|PM25|Infant mortality", US_national_yearly!$D:$AM, 10, FALSE), 1)</f>
        <v>3.7093507405953295E-6</v>
      </c>
      <c r="O3" s="7">
        <f>$B3 * IFERROR(VLOOKUP("electricity|PM25|Infant mortality", US_national_yearly!$D:$AM, 23, FALSE) / VLOOKUP("electricity|PM25|Infant mortality", US_national_yearly!$D:$AM, 10, FALSE), 1)</f>
        <v>3.6918083321043491E-6</v>
      </c>
      <c r="P3" s="7">
        <f>$B3 * IFERROR(VLOOKUP("electricity|PM25|Infant mortality", US_national_yearly!$D:$AM, 24, FALSE) / VLOOKUP("electricity|PM25|Infant mortality", US_national_yearly!$D:$AM, 10, FALSE), 1)</f>
        <v>3.6742659236133682E-6</v>
      </c>
      <c r="Q3" s="7">
        <f>$B3 * IFERROR(VLOOKUP("electricity|PM25|Infant mortality", US_national_yearly!$D:$AM, 25, FALSE) / VLOOKUP("electricity|PM25|Infant mortality", US_national_yearly!$D:$AM, 10, FALSE), 1)</f>
        <v>3.6567235151223877E-6</v>
      </c>
      <c r="R3" s="7">
        <f>$B3 * IFERROR(VLOOKUP("electricity|PM25|Infant mortality", US_national_yearly!$D:$AM, 26, FALSE) / VLOOKUP("electricity|PM25|Infant mortality", US_national_yearly!$D:$AM, 10, FALSE), 1)</f>
        <v>3.6391811066314068E-6</v>
      </c>
      <c r="S3" s="7">
        <f>$B3 * IFERROR(VLOOKUP("electricity|PM25|Infant mortality", US_national_yearly!$D:$AM, 27, FALSE) / VLOOKUP("electricity|PM25|Infant mortality", US_national_yearly!$D:$AM, 10, FALSE), 1)</f>
        <v>3.6181649092474802E-6</v>
      </c>
      <c r="T3" s="7">
        <f>$B3 * IFERROR(VLOOKUP("electricity|PM25|Infant mortality", US_national_yearly!$D:$AM, 28, FALSE) / VLOOKUP("electricity|PM25|Infant mortality", US_national_yearly!$D:$AM, 10, FALSE), 1)</f>
        <v>3.5971487118635535E-6</v>
      </c>
      <c r="U3" s="7">
        <f>$B3 * IFERROR(VLOOKUP("electricity|PM25|Infant mortality", US_national_yearly!$D:$AM, 29, FALSE) / VLOOKUP("electricity|PM25|Infant mortality", US_national_yearly!$D:$AM, 10, FALSE), 1)</f>
        <v>3.5761325144796273E-6</v>
      </c>
      <c r="V3" s="7">
        <f>$B3 * IFERROR(VLOOKUP("electricity|PM25|Infant mortality", US_national_yearly!$D:$AM, 30, FALSE) / VLOOKUP("electricity|PM25|Infant mortality", US_national_yearly!$D:$AM, 10, FALSE), 1)</f>
        <v>3.555116317095701E-6</v>
      </c>
      <c r="W3" s="7">
        <f>$B3 * IFERROR(VLOOKUP("electricity|PM25|Infant mortality", US_national_yearly!$D:$AM, 31, FALSE) / VLOOKUP("electricity|PM25|Infant mortality", US_national_yearly!$D:$AM, 10, FALSE), 1)</f>
        <v>3.5341001197117744E-6</v>
      </c>
      <c r="X3" s="7">
        <f>$B3 * IFERROR(VLOOKUP("electricity|PM25|Infant mortality", US_national_yearly!$D:$AM, 32, FALSE) / VLOOKUP("electricity|PM25|Infant mortality", US_national_yearly!$D:$AM, 10, FALSE), 1)</f>
        <v>3.5123825037076683E-6</v>
      </c>
      <c r="Y3" s="7">
        <f>$B3 * IFERROR(VLOOKUP("electricity|PM25|Infant mortality", US_national_yearly!$D:$AM, 33, FALSE) / VLOOKUP("electricity|PM25|Infant mortality", US_national_yearly!$D:$AM, 10, FALSE), 1)</f>
        <v>3.4906648877035622E-6</v>
      </c>
      <c r="Z3" s="7">
        <f>$B3 * IFERROR(VLOOKUP("electricity|PM25|Infant mortality", US_national_yearly!$D:$AM, 34, FALSE) / VLOOKUP("electricity|PM25|Infant mortality", US_national_yearly!$D:$AM, 10, FALSE), 1)</f>
        <v>3.4689472716994561E-6</v>
      </c>
      <c r="AA3" s="7">
        <f>$B3 * IFERROR(VLOOKUP("electricity|PM25|Infant mortality", US_national_yearly!$D:$AM, 35, FALSE) / VLOOKUP("electricity|PM25|Infant mortality", US_national_yearly!$D:$AM, 10, FALSE), 1)</f>
        <v>3.4472296556953504E-6</v>
      </c>
      <c r="AB3" s="7">
        <f>$B3 * IFERROR(VLOOKUP("electricity|PM25|Infant mortality", US_national_yearly!$D:$AM, 36, FALSE) / VLOOKUP("electricity|PM25|Infant mortality", US_national_yearly!$D:$AM, 10, FALSE), 1)</f>
        <v>3.4255120396912443E-6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1.9109025854440055E-2</v>
      </c>
      <c r="C6" s="7">
        <f>$B6 * IFERROR(VLOOKUP("electricity|PM25|Asthma symptoms cough", US_national_yearly!$D:$AM, 11, FALSE) / VLOOKUP("electricity|PM25|Asthma symptoms cough", US_national_yearly!$D:$AM, 10, FALSE), 1)</f>
        <v>1.9109025854440055E-2</v>
      </c>
      <c r="D6" s="7">
        <f>$B6 * IFERROR(VLOOKUP("electricity|PM25|Asthma symptoms cough", US_national_yearly!$D:$AM, 12, FALSE) / VLOOKUP("electricity|PM25|Asthma symptoms cough", US_national_yearly!$D:$AM, 10, FALSE), 1)</f>
        <v>1.9109025854440055E-2</v>
      </c>
      <c r="E6" s="7">
        <f>$B6 * IFERROR(VLOOKUP("electricity|PM25|Asthma symptoms cough", US_national_yearly!$D:$AM, 13, FALSE) / VLOOKUP("electricity|PM25|Asthma symptoms cough", US_national_yearly!$D:$AM, 10, FALSE), 1)</f>
        <v>1.9109025854440055E-2</v>
      </c>
      <c r="F6" s="7">
        <f>$B6 * IFERROR(VLOOKUP("electricity|PM25|Asthma symptoms cough", US_national_yearly!$D:$AM, 14, FALSE) / VLOOKUP("electricity|PM25|Asthma symptoms cough", US_national_yearly!$D:$AM, 10, FALSE), 1)</f>
        <v>1.9109025854440055E-2</v>
      </c>
      <c r="G6" s="7">
        <f>$B6 * IFERROR(VLOOKUP("electricity|PM25|Asthma symptoms cough", US_national_yearly!$D:$AM, 15, FALSE) / VLOOKUP("electricity|PM25|Asthma symptoms cough", US_national_yearly!$D:$AM, 10, FALSE), 1)</f>
        <v>1.9109025854440055E-2</v>
      </c>
      <c r="H6" s="7">
        <f>$B6 * IFERROR(VLOOKUP("electricity|PM25|Asthma symptoms cough", US_national_yearly!$D:$AM, 16, FALSE) / VLOOKUP("electricity|PM25|Asthma symptoms cough", US_national_yearly!$D:$AM, 10, FALSE), 1)</f>
        <v>1.9109025854440055E-2</v>
      </c>
      <c r="I6" s="7">
        <f>$B6 * IFERROR(VLOOKUP("electricity|PM25|Asthma symptoms cough", US_national_yearly!$D:$AM, 17, FALSE) / VLOOKUP("electricity|PM25|Asthma symptoms cough", US_national_yearly!$D:$AM, 10, FALSE), 1)</f>
        <v>1.9109025854440055E-2</v>
      </c>
      <c r="J6" s="7">
        <f>$B6 * IFERROR(VLOOKUP("electricity|PM25|Asthma symptoms cough", US_national_yearly!$D:$AM, 18, FALSE) / VLOOKUP("electricity|PM25|Asthma symptoms cough", US_national_yearly!$D:$AM, 10, FALSE), 1)</f>
        <v>1.9109025854440055E-2</v>
      </c>
      <c r="K6" s="7">
        <f>$B6 * IFERROR(VLOOKUP("electricity|PM25|Asthma symptoms cough", US_national_yearly!$D:$AM, 19, FALSE) / VLOOKUP("electricity|PM25|Asthma symptoms cough", US_national_yearly!$D:$AM, 10, FALSE), 1)</f>
        <v>1.9109025854440055E-2</v>
      </c>
      <c r="L6" s="7">
        <f>$B6 * IFERROR(VLOOKUP("electricity|PM25|Asthma symptoms cough", US_national_yearly!$D:$AM, 20, FALSE) / VLOOKUP("electricity|PM25|Asthma symptoms cough", US_national_yearly!$D:$AM, 10, FALSE), 1)</f>
        <v>1.9109025854440055E-2</v>
      </c>
      <c r="M6" s="7">
        <f>$B6 * IFERROR(VLOOKUP("electricity|PM25|Asthma symptoms cough", US_national_yearly!$D:$AM, 21, FALSE) / VLOOKUP("electricity|PM25|Asthma symptoms cough", US_national_yearly!$D:$AM, 10, FALSE), 1)</f>
        <v>1.9109025854440055E-2</v>
      </c>
      <c r="N6" s="7">
        <f>$B6 * IFERROR(VLOOKUP("electricity|PM25|Asthma symptoms cough", US_national_yearly!$D:$AM, 22, FALSE) / VLOOKUP("electricity|PM25|Asthma symptoms cough", US_national_yearly!$D:$AM, 10, FALSE), 1)</f>
        <v>1.9109025854440055E-2</v>
      </c>
      <c r="O6" s="7">
        <f>$B6 * IFERROR(VLOOKUP("electricity|PM25|Asthma symptoms cough", US_national_yearly!$D:$AM, 23, FALSE) / VLOOKUP("electricity|PM25|Asthma symptoms cough", US_national_yearly!$D:$AM, 10, FALSE), 1)</f>
        <v>1.9109025854440055E-2</v>
      </c>
      <c r="P6" s="7">
        <f>$B6 * IFERROR(VLOOKUP("electricity|PM25|Asthma symptoms cough", US_national_yearly!$D:$AM, 24, FALSE) / VLOOKUP("electricity|PM25|Asthma symptoms cough", US_national_yearly!$D:$AM, 10, FALSE), 1)</f>
        <v>1.9109025854440055E-2</v>
      </c>
      <c r="Q6" s="7">
        <f>$B6 * IFERROR(VLOOKUP("electricity|PM25|Asthma symptoms cough", US_national_yearly!$D:$AM, 25, FALSE) / VLOOKUP("electricity|PM25|Asthma symptoms cough", US_national_yearly!$D:$AM, 10, FALSE), 1)</f>
        <v>1.9109025854440055E-2</v>
      </c>
      <c r="R6" s="7">
        <f>$B6 * IFERROR(VLOOKUP("electricity|PM25|Asthma symptoms cough", US_national_yearly!$D:$AM, 26, FALSE) / VLOOKUP("electricity|PM25|Asthma symptoms cough", US_national_yearly!$D:$AM, 10, FALSE), 1)</f>
        <v>1.9109025854440055E-2</v>
      </c>
      <c r="S6" s="7">
        <f>$B6 * IFERROR(VLOOKUP("electricity|PM25|Asthma symptoms cough", US_national_yearly!$D:$AM, 27, FALSE) / VLOOKUP("electricity|PM25|Asthma symptoms cough", US_national_yearly!$D:$AM, 10, FALSE), 1)</f>
        <v>1.9109025854440055E-2</v>
      </c>
      <c r="T6" s="7">
        <f>$B6 * IFERROR(VLOOKUP("electricity|PM25|Asthma symptoms cough", US_national_yearly!$D:$AM, 28, FALSE) / VLOOKUP("electricity|PM25|Asthma symptoms cough", US_national_yearly!$D:$AM, 10, FALSE), 1)</f>
        <v>1.9109025854440055E-2</v>
      </c>
      <c r="U6" s="7">
        <f>$B6 * IFERROR(VLOOKUP("electricity|PM25|Asthma symptoms cough", US_national_yearly!$D:$AM, 29, FALSE) / VLOOKUP("electricity|PM25|Asthma symptoms cough", US_national_yearly!$D:$AM, 10, FALSE), 1)</f>
        <v>1.9109025854440055E-2</v>
      </c>
      <c r="V6" s="7">
        <f>$B6 * IFERROR(VLOOKUP("electricity|PM25|Asthma symptoms cough", US_national_yearly!$D:$AM, 30, FALSE) / VLOOKUP("electricity|PM25|Asthma symptoms cough", US_national_yearly!$D:$AM, 10, FALSE), 1)</f>
        <v>1.9109025854440055E-2</v>
      </c>
      <c r="W6" s="7">
        <f>$B6 * IFERROR(VLOOKUP("electricity|PM25|Asthma symptoms cough", US_national_yearly!$D:$AM, 31, FALSE) / VLOOKUP("electricity|PM25|Asthma symptoms cough", US_national_yearly!$D:$AM, 10, FALSE), 1)</f>
        <v>1.9109025854440055E-2</v>
      </c>
      <c r="X6" s="7">
        <f>$B6 * IFERROR(VLOOKUP("electricity|PM25|Asthma symptoms cough", US_national_yearly!$D:$AM, 32, FALSE) / VLOOKUP("electricity|PM25|Asthma symptoms cough", US_national_yearly!$D:$AM, 10, FALSE), 1)</f>
        <v>1.9109025854440055E-2</v>
      </c>
      <c r="Y6" s="7">
        <f>$B6 * IFERROR(VLOOKUP("electricity|PM25|Asthma symptoms cough", US_national_yearly!$D:$AM, 33, FALSE) / VLOOKUP("electricity|PM25|Asthma symptoms cough", US_national_yearly!$D:$AM, 10, FALSE), 1)</f>
        <v>1.9109025854440055E-2</v>
      </c>
      <c r="Z6" s="7">
        <f>$B6 * IFERROR(VLOOKUP("electricity|PM25|Asthma symptoms cough", US_national_yearly!$D:$AM, 34, FALSE) / VLOOKUP("electricity|PM25|Asthma symptoms cough", US_national_yearly!$D:$AM, 10, FALSE), 1)</f>
        <v>1.9109025854440055E-2</v>
      </c>
      <c r="AA6" s="7">
        <f>$B6 * IFERROR(VLOOKUP("electricity|PM25|Asthma symptoms cough", US_national_yearly!$D:$AM, 35, FALSE) / VLOOKUP("electricity|PM25|Asthma symptoms cough", US_national_yearly!$D:$AM, 10, FALSE), 1)</f>
        <v>1.9109025854440055E-2</v>
      </c>
      <c r="AB6" s="7">
        <f>$B6 * IFERROR(VLOOKUP("electricity|PM25|Asthma symptoms cough", US_national_yearly!$D:$AM, 36, FALSE) / VLOOKUP("electricity|PM25|Asthma symptoms cough", US_national_yearly!$D:$AM, 10, FALSE), 1)</f>
        <v>1.9109025854440055E-2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2.5733089637769952E-2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2.5733089637769952E-2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2.5733089637769952E-2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2.5733089637769952E-2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2.5733089637769952E-2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2.5733089637769952E-2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2.5733089637769952E-2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2.5733089637769952E-2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2.5733089637769952E-2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2.5733089637769952E-2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2.5733089637769952E-2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2.5733089637769952E-2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2.5733089637769952E-2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2.5733089637769952E-2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2.5733089637769952E-2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2.5733089637769952E-2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2.5733089637769952E-2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2.5733089637769952E-2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2.5733089637769952E-2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2.5733089637769952E-2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2.5733089637769952E-2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2.5733089637769952E-2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2.5733089637769952E-2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2.5733089637769952E-2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2.5733089637769952E-2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2.5733089637769952E-2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2.5733089637769952E-2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3.9315751671552997E-2</v>
      </c>
      <c r="C8" s="7">
        <f>$B8 * IFERROR(VLOOKUP("electricity|PM25|Asthma symptoms wheeze", US_national_yearly!$D:$AM, 11, FALSE) / VLOOKUP("electricity|PM25|Asthma symptoms wheeze", US_national_yearly!$D:$AM, 10, FALSE), 1)</f>
        <v>3.9315751671552997E-2</v>
      </c>
      <c r="D8" s="7">
        <f>$B8 * IFERROR(VLOOKUP("electricity|PM25|Asthma symptoms wheeze", US_national_yearly!$D:$AM, 12, FALSE) / VLOOKUP("electricity|PM25|Asthma symptoms wheeze", US_national_yearly!$D:$AM, 10, FALSE), 1)</f>
        <v>3.9315751671552997E-2</v>
      </c>
      <c r="E8" s="7">
        <f>$B8 * IFERROR(VLOOKUP("electricity|PM25|Asthma symptoms wheeze", US_national_yearly!$D:$AM, 13, FALSE) / VLOOKUP("electricity|PM25|Asthma symptoms wheeze", US_national_yearly!$D:$AM, 10, FALSE), 1)</f>
        <v>3.9315751671552997E-2</v>
      </c>
      <c r="F8" s="7">
        <f>$B8 * IFERROR(VLOOKUP("electricity|PM25|Asthma symptoms wheeze", US_national_yearly!$D:$AM, 14, FALSE) / VLOOKUP("electricity|PM25|Asthma symptoms wheeze", US_national_yearly!$D:$AM, 10, FALSE), 1)</f>
        <v>3.9315751671552997E-2</v>
      </c>
      <c r="G8" s="7">
        <f>$B8 * IFERROR(VLOOKUP("electricity|PM25|Asthma symptoms wheeze", US_national_yearly!$D:$AM, 15, FALSE) / VLOOKUP("electricity|PM25|Asthma symptoms wheeze", US_national_yearly!$D:$AM, 10, FALSE), 1)</f>
        <v>3.9315751671552997E-2</v>
      </c>
      <c r="H8" s="7">
        <f>$B8 * IFERROR(VLOOKUP("electricity|PM25|Asthma symptoms wheeze", US_national_yearly!$D:$AM, 16, FALSE) / VLOOKUP("electricity|PM25|Asthma symptoms wheeze", US_national_yearly!$D:$AM, 10, FALSE), 1)</f>
        <v>3.9315751671552997E-2</v>
      </c>
      <c r="I8" s="7">
        <f>$B8 * IFERROR(VLOOKUP("electricity|PM25|Asthma symptoms wheeze", US_national_yearly!$D:$AM, 17, FALSE) / VLOOKUP("electricity|PM25|Asthma symptoms wheeze", US_national_yearly!$D:$AM, 10, FALSE), 1)</f>
        <v>3.9315751671552997E-2</v>
      </c>
      <c r="J8" s="7">
        <f>$B8 * IFERROR(VLOOKUP("electricity|PM25|Asthma symptoms wheeze", US_national_yearly!$D:$AM, 18, FALSE) / VLOOKUP("electricity|PM25|Asthma symptoms wheeze", US_national_yearly!$D:$AM, 10, FALSE), 1)</f>
        <v>3.9315751671552997E-2</v>
      </c>
      <c r="K8" s="7">
        <f>$B8 * IFERROR(VLOOKUP("electricity|PM25|Asthma symptoms wheeze", US_national_yearly!$D:$AM, 19, FALSE) / VLOOKUP("electricity|PM25|Asthma symptoms wheeze", US_national_yearly!$D:$AM, 10, FALSE), 1)</f>
        <v>3.9315751671552997E-2</v>
      </c>
      <c r="L8" s="7">
        <f>$B8 * IFERROR(VLOOKUP("electricity|PM25|Asthma symptoms wheeze", US_national_yearly!$D:$AM, 20, FALSE) / VLOOKUP("electricity|PM25|Asthma symptoms wheeze", US_national_yearly!$D:$AM, 10, FALSE), 1)</f>
        <v>3.9315751671552997E-2</v>
      </c>
      <c r="M8" s="7">
        <f>$B8 * IFERROR(VLOOKUP("electricity|PM25|Asthma symptoms wheeze", US_national_yearly!$D:$AM, 21, FALSE) / VLOOKUP("electricity|PM25|Asthma symptoms wheeze", US_national_yearly!$D:$AM, 10, FALSE), 1)</f>
        <v>3.9315751671552997E-2</v>
      </c>
      <c r="N8" s="7">
        <f>$B8 * IFERROR(VLOOKUP("electricity|PM25|Asthma symptoms wheeze", US_national_yearly!$D:$AM, 22, FALSE) / VLOOKUP("electricity|PM25|Asthma symptoms wheeze", US_national_yearly!$D:$AM, 10, FALSE), 1)</f>
        <v>3.9315751671552997E-2</v>
      </c>
      <c r="O8" s="7">
        <f>$B8 * IFERROR(VLOOKUP("electricity|PM25|Asthma symptoms wheeze", US_national_yearly!$D:$AM, 23, FALSE) / VLOOKUP("electricity|PM25|Asthma symptoms wheeze", US_national_yearly!$D:$AM, 10, FALSE), 1)</f>
        <v>3.9315751671552997E-2</v>
      </c>
      <c r="P8" s="7">
        <f>$B8 * IFERROR(VLOOKUP("electricity|PM25|Asthma symptoms wheeze", US_national_yearly!$D:$AM, 24, FALSE) / VLOOKUP("electricity|PM25|Asthma symptoms wheeze", US_national_yearly!$D:$AM, 10, FALSE), 1)</f>
        <v>3.9315751671552997E-2</v>
      </c>
      <c r="Q8" s="7">
        <f>$B8 * IFERROR(VLOOKUP("electricity|PM25|Asthma symptoms wheeze", US_national_yearly!$D:$AM, 25, FALSE) / VLOOKUP("electricity|PM25|Asthma symptoms wheeze", US_national_yearly!$D:$AM, 10, FALSE), 1)</f>
        <v>3.9315751671552997E-2</v>
      </c>
      <c r="R8" s="7">
        <f>$B8 * IFERROR(VLOOKUP("electricity|PM25|Asthma symptoms wheeze", US_national_yearly!$D:$AM, 26, FALSE) / VLOOKUP("electricity|PM25|Asthma symptoms wheeze", US_national_yearly!$D:$AM, 10, FALSE), 1)</f>
        <v>3.9315751671552997E-2</v>
      </c>
      <c r="S8" s="7">
        <f>$B8 * IFERROR(VLOOKUP("electricity|PM25|Asthma symptoms wheeze", US_national_yearly!$D:$AM, 27, FALSE) / VLOOKUP("electricity|PM25|Asthma symptoms wheeze", US_national_yearly!$D:$AM, 10, FALSE), 1)</f>
        <v>3.9315751671552997E-2</v>
      </c>
      <c r="T8" s="7">
        <f>$B8 * IFERROR(VLOOKUP("electricity|PM25|Asthma symptoms wheeze", US_national_yearly!$D:$AM, 28, FALSE) / VLOOKUP("electricity|PM25|Asthma symptoms wheeze", US_national_yearly!$D:$AM, 10, FALSE), 1)</f>
        <v>3.9315751671552997E-2</v>
      </c>
      <c r="U8" s="7">
        <f>$B8 * IFERROR(VLOOKUP("electricity|PM25|Asthma symptoms wheeze", US_national_yearly!$D:$AM, 29, FALSE) / VLOOKUP("electricity|PM25|Asthma symptoms wheeze", US_national_yearly!$D:$AM, 10, FALSE), 1)</f>
        <v>3.9315751671552997E-2</v>
      </c>
      <c r="V8" s="7">
        <f>$B8 * IFERROR(VLOOKUP("electricity|PM25|Asthma symptoms wheeze", US_national_yearly!$D:$AM, 30, FALSE) / VLOOKUP("electricity|PM25|Asthma symptoms wheeze", US_national_yearly!$D:$AM, 10, FALSE), 1)</f>
        <v>3.9315751671552997E-2</v>
      </c>
      <c r="W8" s="7">
        <f>$B8 * IFERROR(VLOOKUP("electricity|PM25|Asthma symptoms wheeze", US_national_yearly!$D:$AM, 31, FALSE) / VLOOKUP("electricity|PM25|Asthma symptoms wheeze", US_national_yearly!$D:$AM, 10, FALSE), 1)</f>
        <v>3.9315751671552997E-2</v>
      </c>
      <c r="X8" s="7">
        <f>$B8 * IFERROR(VLOOKUP("electricity|PM25|Asthma symptoms wheeze", US_national_yearly!$D:$AM, 32, FALSE) / VLOOKUP("electricity|PM25|Asthma symptoms wheeze", US_national_yearly!$D:$AM, 10, FALSE), 1)</f>
        <v>3.9315751671552997E-2</v>
      </c>
      <c r="Y8" s="7">
        <f>$B8 * IFERROR(VLOOKUP("electricity|PM25|Asthma symptoms wheeze", US_national_yearly!$D:$AM, 33, FALSE) / VLOOKUP("electricity|PM25|Asthma symptoms wheeze", US_national_yearly!$D:$AM, 10, FALSE), 1)</f>
        <v>3.9315751671552997E-2</v>
      </c>
      <c r="Z8" s="7">
        <f>$B8 * IFERROR(VLOOKUP("electricity|PM25|Asthma symptoms wheeze", US_national_yearly!$D:$AM, 34, FALSE) / VLOOKUP("electricity|PM25|Asthma symptoms wheeze", US_national_yearly!$D:$AM, 10, FALSE), 1)</f>
        <v>3.9315751671552997E-2</v>
      </c>
      <c r="AA8" s="7">
        <f>$B8 * IFERROR(VLOOKUP("electricity|PM25|Asthma symptoms wheeze", US_national_yearly!$D:$AM, 35, FALSE) / VLOOKUP("electricity|PM25|Asthma symptoms wheeze", US_national_yearly!$D:$AM, 10, FALSE), 1)</f>
        <v>3.9315751671552997E-2</v>
      </c>
      <c r="AB8" s="7">
        <f>$B8 * IFERROR(VLOOKUP("electricity|PM25|Asthma symptoms wheeze", US_national_yearly!$D:$AM, 36, FALSE) / VLOOKUP("electricity|PM25|Asthma symptoms wheeze", US_national_yearly!$D:$AM, 10, FALSE), 1)</f>
        <v>3.9315751671552997E-2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6.9626040406701713E-4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7.0008696648395086E-4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7.0391352890088437E-4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7.0774009131781821E-4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7.1156665373475173E-4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7.1566863458604455E-4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7.1977061543733749E-4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7.2343531627403076E-4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7.2710001711072392E-4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7.3076471794741708E-4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7.3442941878411024E-4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7.3809411962080362E-4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7.4056609046622393E-4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7.4303806131164436E-4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7.4551003215706478E-4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7.479820030024851E-4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7.5045397384790552E-4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7.5275750496615456E-4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7.5506103608440327E-4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7.573645672026521E-4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7.5966809832090092E-4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7.6197162943914963E-4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7.6424938304099567E-4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7.665271366428416E-4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7.6880489024468753E-4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7.7108264384653357E-4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7.7336039744837961E-4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4.1982493156639067E-3</v>
      </c>
      <c r="C13" s="7">
        <f>$B13 * IFERROR(VLOOKUP("electricity|PM25|Non-fatal heart attacks", US_national_yearly!$D:$AM, 11, FALSE) / VLOOKUP("electricity|PM25|Non-fatal heart attacks", US_national_yearly!$D:$AM, 10, FALSE), 1)</f>
        <v>4.3198508590582699E-3</v>
      </c>
      <c r="D13" s="7">
        <f>$B13 * IFERROR(VLOOKUP("electricity|PM25|Non-fatal heart attacks", US_national_yearly!$D:$AM, 12, FALSE) / VLOOKUP("electricity|PM25|Non-fatal heart attacks", US_national_yearly!$D:$AM, 10, FALSE), 1)</f>
        <v>4.4414524024526322E-3</v>
      </c>
      <c r="E13" s="7">
        <f>$B13 * IFERROR(VLOOKUP("electricity|PM25|Non-fatal heart attacks", US_national_yearly!$D:$AM, 13, FALSE) / VLOOKUP("electricity|PM25|Non-fatal heart attacks", US_national_yearly!$D:$AM, 10, FALSE), 1)</f>
        <v>4.5630539458469946E-3</v>
      </c>
      <c r="F13" s="7">
        <f>$B13 * IFERROR(VLOOKUP("electricity|PM25|Non-fatal heart attacks", US_national_yearly!$D:$AM, 14, FALSE) / VLOOKUP("electricity|PM25|Non-fatal heart attacks", US_national_yearly!$D:$AM, 10, FALSE), 1)</f>
        <v>4.6846554892413569E-3</v>
      </c>
      <c r="G13" s="7">
        <f>$B13 * IFERROR(VLOOKUP("electricity|PM25|Non-fatal heart attacks", US_national_yearly!$D:$AM, 15, FALSE) / VLOOKUP("electricity|PM25|Non-fatal heart attacks", US_national_yearly!$D:$AM, 10, FALSE), 1)</f>
        <v>4.800075660872768E-3</v>
      </c>
      <c r="H13" s="7">
        <f>$B13 * IFERROR(VLOOKUP("electricity|PM25|Non-fatal heart attacks", US_national_yearly!$D:$AM, 16, FALSE) / VLOOKUP("electricity|PM25|Non-fatal heart attacks", US_national_yearly!$D:$AM, 10, FALSE), 1)</f>
        <v>4.9154958325041782E-3</v>
      </c>
      <c r="I13" s="7">
        <f>$B13 * IFERROR(VLOOKUP("electricity|PM25|Non-fatal heart attacks", US_national_yearly!$D:$AM, 17, FALSE) / VLOOKUP("electricity|PM25|Non-fatal heart attacks", US_national_yearly!$D:$AM, 10, FALSE), 1)</f>
        <v>5.009665066558833E-3</v>
      </c>
      <c r="J13" s="7">
        <f>$B13 * IFERROR(VLOOKUP("electricity|PM25|Non-fatal heart attacks", US_national_yearly!$D:$AM, 18, FALSE) / VLOOKUP("electricity|PM25|Non-fatal heart attacks", US_national_yearly!$D:$AM, 10, FALSE), 1)</f>
        <v>5.103834300613487E-3</v>
      </c>
      <c r="K13" s="7">
        <f>$B13 * IFERROR(VLOOKUP("electricity|PM25|Non-fatal heart attacks", US_national_yearly!$D:$AM, 19, FALSE) / VLOOKUP("electricity|PM25|Non-fatal heart attacks", US_national_yearly!$D:$AM, 10, FALSE), 1)</f>
        <v>5.1980035346681401E-3</v>
      </c>
      <c r="L13" s="7">
        <f>$B13 * IFERROR(VLOOKUP("electricity|PM25|Non-fatal heart attacks", US_national_yearly!$D:$AM, 20, FALSE) / VLOOKUP("electricity|PM25|Non-fatal heart attacks", US_national_yearly!$D:$AM, 10, FALSE), 1)</f>
        <v>5.2921727687227941E-3</v>
      </c>
      <c r="M13" s="7">
        <f>$B13 * IFERROR(VLOOKUP("electricity|PM25|Non-fatal heart attacks", US_national_yearly!$D:$AM, 21, FALSE) / VLOOKUP("electricity|PM25|Non-fatal heart attacks", US_national_yearly!$D:$AM, 10, FALSE), 1)</f>
        <v>5.386342002777449E-3</v>
      </c>
      <c r="N13" s="7">
        <f>$B13 * IFERROR(VLOOKUP("electricity|PM25|Non-fatal heart attacks", US_national_yearly!$D:$AM, 22, FALSE) / VLOOKUP("electricity|PM25|Non-fatal heart attacks", US_national_yearly!$D:$AM, 10, FALSE), 1)</f>
        <v>5.4474456791056376E-3</v>
      </c>
      <c r="O13" s="7">
        <f>$B13 * IFERROR(VLOOKUP("electricity|PM25|Non-fatal heart attacks", US_national_yearly!$D:$AM, 23, FALSE) / VLOOKUP("electricity|PM25|Non-fatal heart attacks", US_national_yearly!$D:$AM, 10, FALSE), 1)</f>
        <v>5.5085493554338253E-3</v>
      </c>
      <c r="P13" s="7">
        <f>$B13 * IFERROR(VLOOKUP("electricity|PM25|Non-fatal heart attacks", US_national_yearly!$D:$AM, 24, FALSE) / VLOOKUP("electricity|PM25|Non-fatal heart attacks", US_national_yearly!$D:$AM, 10, FALSE), 1)</f>
        <v>5.5696530317620122E-3</v>
      </c>
      <c r="Q13" s="7">
        <f>$B13 * IFERROR(VLOOKUP("electricity|PM25|Non-fatal heart attacks", US_national_yearly!$D:$AM, 25, FALSE) / VLOOKUP("electricity|PM25|Non-fatal heart attacks", US_national_yearly!$D:$AM, 10, FALSE), 1)</f>
        <v>5.6307567080902E-3</v>
      </c>
      <c r="R13" s="7">
        <f>$B13 * IFERROR(VLOOKUP("electricity|PM25|Non-fatal heart attacks", US_national_yearly!$D:$AM, 26, FALSE) / VLOOKUP("electricity|PM25|Non-fatal heart attacks", US_national_yearly!$D:$AM, 10, FALSE), 1)</f>
        <v>5.6918603844183877E-3</v>
      </c>
      <c r="S13" s="7">
        <f>$B13 * IFERROR(VLOOKUP("electricity|PM25|Non-fatal heart attacks", US_national_yearly!$D:$AM, 27, FALSE) / VLOOKUP("electricity|PM25|Non-fatal heart attacks", US_national_yearly!$D:$AM, 10, FALSE), 1)</f>
        <v>5.7254995280027711E-3</v>
      </c>
      <c r="T13" s="7">
        <f>$B13 * IFERROR(VLOOKUP("electricity|PM25|Non-fatal heart attacks", US_national_yearly!$D:$AM, 28, FALSE) / VLOOKUP("electricity|PM25|Non-fatal heart attacks", US_national_yearly!$D:$AM, 10, FALSE), 1)</f>
        <v>5.7591386715871561E-3</v>
      </c>
      <c r="U13" s="7">
        <f>$B13 * IFERROR(VLOOKUP("electricity|PM25|Non-fatal heart attacks", US_national_yearly!$D:$AM, 29, FALSE) / VLOOKUP("electricity|PM25|Non-fatal heart attacks", US_national_yearly!$D:$AM, 10, FALSE), 1)</f>
        <v>5.7927778151715395E-3</v>
      </c>
      <c r="V13" s="7">
        <f>$B13 * IFERROR(VLOOKUP("electricity|PM25|Non-fatal heart attacks", US_national_yearly!$D:$AM, 30, FALSE) / VLOOKUP("electricity|PM25|Non-fatal heart attacks", US_national_yearly!$D:$AM, 10, FALSE), 1)</f>
        <v>5.8264169587559237E-3</v>
      </c>
      <c r="W13" s="7">
        <f>$B13 * IFERROR(VLOOKUP("electricity|PM25|Non-fatal heart attacks", US_national_yearly!$D:$AM, 31, FALSE) / VLOOKUP("electricity|PM25|Non-fatal heart attacks", US_national_yearly!$D:$AM, 10, FALSE), 1)</f>
        <v>5.8600561023403079E-3</v>
      </c>
      <c r="X13" s="7">
        <f>$B13 * IFERROR(VLOOKUP("electricity|PM25|Non-fatal heart attacks", US_national_yearly!$D:$AM, 32, FALSE) / VLOOKUP("electricity|PM25|Non-fatal heart attacks", US_national_yearly!$D:$AM, 10, FALSE), 1)</f>
        <v>5.8863725353796399E-3</v>
      </c>
      <c r="Y13" s="7">
        <f>$B13 * IFERROR(VLOOKUP("electricity|PM25|Non-fatal heart attacks", US_national_yearly!$D:$AM, 33, FALSE) / VLOOKUP("electricity|PM25|Non-fatal heart attacks", US_national_yearly!$D:$AM, 10, FALSE), 1)</f>
        <v>5.9126889684189736E-3</v>
      </c>
      <c r="Z13" s="7">
        <f>$B13 * IFERROR(VLOOKUP("electricity|PM25|Non-fatal heart attacks", US_national_yearly!$D:$AM, 34, FALSE) / VLOOKUP("electricity|PM25|Non-fatal heart attacks", US_national_yearly!$D:$AM, 10, FALSE), 1)</f>
        <v>5.9390054014583056E-3</v>
      </c>
      <c r="AA13" s="7">
        <f>$B13 * IFERROR(VLOOKUP("electricity|PM25|Non-fatal heart attacks", US_national_yearly!$D:$AM, 35, FALSE) / VLOOKUP("electricity|PM25|Non-fatal heart attacks", US_national_yearly!$D:$AM, 10, FALSE), 1)</f>
        <v>5.9653218344976403E-3</v>
      </c>
      <c r="AB13" s="7">
        <f>$B13 * IFERROR(VLOOKUP("electricity|PM25|Non-fatal heart attacks", US_national_yearly!$D:$AM, 36, FALSE) / VLOOKUP("electricity|PM25|Non-fatal heart attacks", US_national_yearly!$D:$AM, 10, FALSE), 1)</f>
        <v>5.9916382675369723E-3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2.8570511356707486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2.8633935971478084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2.8697360586248686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2.8760785201019283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2.8824209815789885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2.8918324594855407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2.9012439373920933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2.9178620446018826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2.9344801518116728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2.9510982590214625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2.9677163662312527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2.9843344734410424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3.0073885808683269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3.0304426882956124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3.0534967957228973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3.0765509031501828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3.0996050105774677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3.1228579713711313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3.1461109321647949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3.169363892958458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3.192616853752122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3.2158698145457856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3.2358024555368541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3.255735096527923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3.275667737518992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3.29560037851006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3.3155330195011299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0.47768979011893092</v>
      </c>
      <c r="C15" s="7">
        <f>$B15 * IFERROR(VLOOKUP("electricity|PM25|Work loss days", US_national_yearly!$D:$AM, 11, FALSE) / VLOOKUP("electricity|PM25|Work loss days", US_national_yearly!$D:$AM, 10, FALSE), 1)</f>
        <v>0.47905672706615654</v>
      </c>
      <c r="D15" s="7">
        <f>$B15 * IFERROR(VLOOKUP("electricity|PM25|Work loss days", US_national_yearly!$D:$AM, 12, FALSE) / VLOOKUP("electricity|PM25|Work loss days", US_national_yearly!$D:$AM, 10, FALSE), 1)</f>
        <v>0.48042366401338221</v>
      </c>
      <c r="E15" s="7">
        <f>$B15 * IFERROR(VLOOKUP("electricity|PM25|Work loss days", US_national_yearly!$D:$AM, 13, FALSE) / VLOOKUP("electricity|PM25|Work loss days", US_national_yearly!$D:$AM, 10, FALSE), 1)</f>
        <v>0.48179060096060783</v>
      </c>
      <c r="F15" s="7">
        <f>$B15 * IFERROR(VLOOKUP("electricity|PM25|Work loss days", US_national_yearly!$D:$AM, 14, FALSE) / VLOOKUP("electricity|PM25|Work loss days", US_national_yearly!$D:$AM, 10, FALSE), 1)</f>
        <v>0.48315753790783345</v>
      </c>
      <c r="G15" s="7">
        <f>$B15 * IFERROR(VLOOKUP("electricity|PM25|Work loss days", US_national_yearly!$D:$AM, 15, FALSE) / VLOOKUP("electricity|PM25|Work loss days", US_national_yearly!$D:$AM, 10, FALSE), 1)</f>
        <v>0.48492833455146656</v>
      </c>
      <c r="H15" s="7">
        <f>$B15 * IFERROR(VLOOKUP("electricity|PM25|Work loss days", US_national_yearly!$D:$AM, 16, FALSE) / VLOOKUP("electricity|PM25|Work loss days", US_national_yearly!$D:$AM, 10, FALSE), 1)</f>
        <v>0.48669913119509978</v>
      </c>
      <c r="I15" s="7">
        <f>$B15 * IFERROR(VLOOKUP("electricity|PM25|Work loss days", US_national_yearly!$D:$AM, 17, FALSE) / VLOOKUP("electricity|PM25|Work loss days", US_national_yearly!$D:$AM, 10, FALSE), 1)</f>
        <v>0.48936122156912049</v>
      </c>
      <c r="J15" s="7">
        <f>$B15 * IFERROR(VLOOKUP("electricity|PM25|Work loss days", US_national_yearly!$D:$AM, 18, FALSE) / VLOOKUP("electricity|PM25|Work loss days", US_national_yearly!$D:$AM, 10, FALSE), 1)</f>
        <v>0.49202331194314108</v>
      </c>
      <c r="K15" s="7">
        <f>$B15 * IFERROR(VLOOKUP("electricity|PM25|Work loss days", US_national_yearly!$D:$AM, 19, FALSE) / VLOOKUP("electricity|PM25|Work loss days", US_national_yearly!$D:$AM, 10, FALSE), 1)</f>
        <v>0.49468540231716179</v>
      </c>
      <c r="L15" s="7">
        <f>$B15 * IFERROR(VLOOKUP("electricity|PM25|Work loss days", US_national_yearly!$D:$AM, 20, FALSE) / VLOOKUP("electricity|PM25|Work loss days", US_national_yearly!$D:$AM, 10, FALSE), 1)</f>
        <v>0.4973474926911825</v>
      </c>
      <c r="M15" s="7">
        <f>$B15 * IFERROR(VLOOKUP("electricity|PM25|Work loss days", US_national_yearly!$D:$AM, 21, FALSE) / VLOOKUP("electricity|PM25|Work loss days", US_national_yearly!$D:$AM, 10, FALSE), 1)</f>
        <v>0.50000958306520316</v>
      </c>
      <c r="N15" s="7">
        <f>$B15 * IFERROR(VLOOKUP("electricity|PM25|Work loss days", US_national_yearly!$D:$AM, 22, FALSE) / VLOOKUP("electricity|PM25|Work loss days", US_national_yearly!$D:$AM, 10, FALSE), 1)</f>
        <v>0.50344652654696842</v>
      </c>
      <c r="O15" s="7">
        <f>$B15 * IFERROR(VLOOKUP("electricity|PM25|Work loss days", US_national_yearly!$D:$AM, 23, FALSE) / VLOOKUP("electricity|PM25|Work loss days", US_national_yearly!$D:$AM, 10, FALSE), 1)</f>
        <v>0.50688347002873357</v>
      </c>
      <c r="P15" s="7">
        <f>$B15 * IFERROR(VLOOKUP("electricity|PM25|Work loss days", US_national_yearly!$D:$AM, 24, FALSE) / VLOOKUP("electricity|PM25|Work loss days", US_national_yearly!$D:$AM, 10, FALSE), 1)</f>
        <v>0.51032041351049873</v>
      </c>
      <c r="Q15" s="7">
        <f>$B15 * IFERROR(VLOOKUP("electricity|PM25|Work loss days", US_national_yearly!$D:$AM, 25, FALSE) / VLOOKUP("electricity|PM25|Work loss days", US_national_yearly!$D:$AM, 10, FALSE), 1)</f>
        <v>0.51375735699226377</v>
      </c>
      <c r="R15" s="7">
        <f>$B15 * IFERROR(VLOOKUP("electricity|PM25|Work loss days", US_national_yearly!$D:$AM, 26, FALSE) / VLOOKUP("electricity|PM25|Work loss days", US_national_yearly!$D:$AM, 10, FALSE), 1)</f>
        <v>0.51719430047402903</v>
      </c>
      <c r="S15" s="7">
        <f>$B15 * IFERROR(VLOOKUP("electricity|PM25|Work loss days", US_national_yearly!$D:$AM, 27, FALSE) / VLOOKUP("electricity|PM25|Work loss days", US_national_yearly!$D:$AM, 10, FALSE), 1)</f>
        <v>0.52100809410233917</v>
      </c>
      <c r="T15" s="7">
        <f>$B15 * IFERROR(VLOOKUP("electricity|PM25|Work loss days", US_national_yearly!$D:$AM, 28, FALSE) / VLOOKUP("electricity|PM25|Work loss days", US_national_yearly!$D:$AM, 10, FALSE), 1)</f>
        <v>0.52482188773064953</v>
      </c>
      <c r="U15" s="7">
        <f>$B15 * IFERROR(VLOOKUP("electricity|PM25|Work loss days", US_national_yearly!$D:$AM, 29, FALSE) / VLOOKUP("electricity|PM25|Work loss days", US_national_yearly!$D:$AM, 10, FALSE), 1)</f>
        <v>0.52863568135895989</v>
      </c>
      <c r="V15" s="7">
        <f>$B15 * IFERROR(VLOOKUP("electricity|PM25|Work loss days", US_national_yearly!$D:$AM, 30, FALSE) / VLOOKUP("electricity|PM25|Work loss days", US_national_yearly!$D:$AM, 10, FALSE), 1)</f>
        <v>0.53244947498727024</v>
      </c>
      <c r="W15" s="7">
        <f>$B15 * IFERROR(VLOOKUP("electricity|PM25|Work loss days", US_national_yearly!$D:$AM, 31, FALSE) / VLOOKUP("electricity|PM25|Work loss days", US_national_yearly!$D:$AM, 10, FALSE), 1)</f>
        <v>0.53626326861558049</v>
      </c>
      <c r="X15" s="7">
        <f>$B15 * IFERROR(VLOOKUP("electricity|PM25|Work loss days", US_national_yearly!$D:$AM, 32, FALSE) / VLOOKUP("electricity|PM25|Work loss days", US_national_yearly!$D:$AM, 10, FALSE), 1)</f>
        <v>0.53962766038390375</v>
      </c>
      <c r="Y15" s="7">
        <f>$B15 * IFERROR(VLOOKUP("electricity|PM25|Work loss days", US_national_yearly!$D:$AM, 33, FALSE) / VLOOKUP("electricity|PM25|Work loss days", US_national_yearly!$D:$AM, 10, FALSE), 1)</f>
        <v>0.5429920521522269</v>
      </c>
      <c r="Z15" s="7">
        <f>$B15 * IFERROR(VLOOKUP("electricity|PM25|Work loss days", US_national_yearly!$D:$AM, 34, FALSE) / VLOOKUP("electricity|PM25|Work loss days", US_national_yearly!$D:$AM, 10, FALSE), 1)</f>
        <v>0.54635644392055005</v>
      </c>
      <c r="AA15" s="7">
        <f>$B15 * IFERROR(VLOOKUP("electricity|PM25|Work loss days", US_national_yearly!$D:$AM, 35, FALSE) / VLOOKUP("electricity|PM25|Work loss days", US_national_yearly!$D:$AM, 10, FALSE), 1)</f>
        <v>0.54972083568887342</v>
      </c>
      <c r="AB15" s="7">
        <f>$B15 * IFERROR(VLOOKUP("electricity|PM25|Work loss days", US_national_yearly!$D:$AM, 36, FALSE) / VLOOKUP("electricity|PM25|Work loss days", US_national_yearly!$D:$AM, 10, FALSE), 1)</f>
        <v>0.55308522745719657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1.035376235787161E-3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1.0661009315367286E-3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1.0968256272862961E-3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1.1275503230358636E-3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1.1582750187854312E-3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1.1879089401698364E-3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1.2175428615542416E-3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1.2432141194409082E-3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1.2688853773275748E-3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1.2945566352142409E-3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1.3202278931009075E-3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1.3458991509875736E-3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1.3631559589420202E-3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1.3804127668964664E-3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1.3976695748509128E-3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1.4149263828053594E-3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1.4321831907598056E-3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1.4417072461045503E-3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1.4512313014492947E-3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1.4607553567940392E-3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1.4702794121387837E-3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1.4798034674835283E-3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1.4864479642711776E-3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1.4930924610588269E-3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1.4997369578464762E-3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1.5063814546341259E-3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1.5130259514217752E-3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1.5659931182318801E-5</v>
      </c>
      <c r="C2" s="7">
        <f>$B2 * IFERROR(VLOOKUP("electricity|NOx|Premature mortality", US_national_yearly!$D:$AM, 11, FALSE) / VLOOKUP("electricity|NOx|Premature mortality", US_national_yearly!$D:$AM, 10, FALSE), 1)</f>
        <v>1.5896875864923149E-5</v>
      </c>
      <c r="D2" s="7">
        <f>$B2 * IFERROR(VLOOKUP("electricity|NOx|Premature mortality", US_national_yearly!$D:$AM, 12, FALSE) / VLOOKUP("electricity|NOx|Premature mortality", US_national_yearly!$D:$AM, 10, FALSE), 1)</f>
        <v>1.6133820547527504E-5</v>
      </c>
      <c r="E2" s="7">
        <f>$B2 * IFERROR(VLOOKUP("electricity|NOx|Premature mortality", US_national_yearly!$D:$AM, 13, FALSE) / VLOOKUP("electricity|NOx|Premature mortality", US_national_yearly!$D:$AM, 10, FALSE), 1)</f>
        <v>1.6370765230131852E-5</v>
      </c>
      <c r="F2" s="7">
        <f>$B2 * IFERROR(VLOOKUP("electricity|NOx|Premature mortality", US_national_yearly!$D:$AM, 14, FALSE) / VLOOKUP("electricity|NOx|Premature mortality", US_national_yearly!$D:$AM, 10, FALSE), 1)</f>
        <v>1.66077099127362E-5</v>
      </c>
      <c r="G2" s="7">
        <f>$B2 * IFERROR(VLOOKUP("electricity|NOx|Premature mortality", US_national_yearly!$D:$AM, 15, FALSE) / VLOOKUP("electricity|NOx|Premature mortality", US_national_yearly!$D:$AM, 10, FALSE), 1)</f>
        <v>1.7030980380565054E-5</v>
      </c>
      <c r="H2" s="7">
        <f>$B2 * IFERROR(VLOOKUP("electricity|NOx|Premature mortality", US_national_yearly!$D:$AM, 16, FALSE) / VLOOKUP("electricity|NOx|Premature mortality", US_national_yearly!$D:$AM, 10, FALSE), 1)</f>
        <v>1.7454250848393905E-5</v>
      </c>
      <c r="I2" s="7">
        <f>$B2 * IFERROR(VLOOKUP("electricity|NOx|Premature mortality", US_national_yearly!$D:$AM, 17, FALSE) / VLOOKUP("electricity|NOx|Premature mortality", US_national_yearly!$D:$AM, 10, FALSE), 1)</f>
        <v>1.7735531460017015E-5</v>
      </c>
      <c r="J2" s="7">
        <f>$B2 * IFERROR(VLOOKUP("electricity|NOx|Premature mortality", US_national_yearly!$D:$AM, 18, FALSE) / VLOOKUP("electricity|NOx|Premature mortality", US_national_yearly!$D:$AM, 10, FALSE), 1)</f>
        <v>1.8016812071640129E-5</v>
      </c>
      <c r="K2" s="7">
        <f>$B2 * IFERROR(VLOOKUP("electricity|NOx|Premature mortality", US_national_yearly!$D:$AM, 19, FALSE) / VLOOKUP("electricity|NOx|Premature mortality", US_national_yearly!$D:$AM, 10, FALSE), 1)</f>
        <v>1.8298092683263238E-5</v>
      </c>
      <c r="L2" s="7">
        <f>$B2 * IFERROR(VLOOKUP("electricity|NOx|Premature mortality", US_national_yearly!$D:$AM, 20, FALSE) / VLOOKUP("electricity|NOx|Premature mortality", US_national_yearly!$D:$AM, 10, FALSE), 1)</f>
        <v>1.8579373294886348E-5</v>
      </c>
      <c r="M2" s="7">
        <f>$B2 * IFERROR(VLOOKUP("electricity|NOx|Premature mortality", US_national_yearly!$D:$AM, 21, FALSE) / VLOOKUP("electricity|NOx|Premature mortality", US_national_yearly!$D:$AM, 10, FALSE), 1)</f>
        <v>1.8860653906509455E-5</v>
      </c>
      <c r="N2" s="7">
        <f>$B2 * IFERROR(VLOOKUP("electricity|NOx|Premature mortality", US_national_yearly!$D:$AM, 22, FALSE) / VLOOKUP("electricity|NOx|Premature mortality", US_national_yearly!$D:$AM, 10, FALSE), 1)</f>
        <v>1.9077694415789709E-5</v>
      </c>
      <c r="O2" s="7">
        <f>$B2 * IFERROR(VLOOKUP("electricity|NOx|Premature mortality", US_national_yearly!$D:$AM, 23, FALSE) / VLOOKUP("electricity|NOx|Premature mortality", US_national_yearly!$D:$AM, 10, FALSE), 1)</f>
        <v>1.9294734925069974E-5</v>
      </c>
      <c r="P2" s="7">
        <f>$B2 * IFERROR(VLOOKUP("electricity|NOx|Premature mortality", US_national_yearly!$D:$AM, 24, FALSE) / VLOOKUP("electricity|NOx|Premature mortality", US_national_yearly!$D:$AM, 10, FALSE), 1)</f>
        <v>1.9511775434350228E-5</v>
      </c>
      <c r="Q2" s="7">
        <f>$B2 * IFERROR(VLOOKUP("electricity|NOx|Premature mortality", US_national_yearly!$D:$AM, 25, FALSE) / VLOOKUP("electricity|NOx|Premature mortality", US_national_yearly!$D:$AM, 10, FALSE), 1)</f>
        <v>1.9728815943630486E-5</v>
      </c>
      <c r="R2" s="7">
        <f>$B2 * IFERROR(VLOOKUP("electricity|NOx|Premature mortality", US_national_yearly!$D:$AM, 26, FALSE) / VLOOKUP("electricity|NOx|Premature mortality", US_national_yearly!$D:$AM, 10, FALSE), 1)</f>
        <v>1.9945856452910741E-5</v>
      </c>
      <c r="S2" s="7">
        <f>$B2 * IFERROR(VLOOKUP("electricity|NOx|Premature mortality", US_national_yearly!$D:$AM, 27, FALSE) / VLOOKUP("electricity|NOx|Premature mortality", US_national_yearly!$D:$AM, 10, FALSE), 1)</f>
        <v>2.0058010371695063E-5</v>
      </c>
      <c r="T2" s="7">
        <f>$B2 * IFERROR(VLOOKUP("electricity|NOx|Premature mortality", US_national_yearly!$D:$AM, 28, FALSE) / VLOOKUP("electricity|NOx|Premature mortality", US_national_yearly!$D:$AM, 10, FALSE), 1)</f>
        <v>2.0170164290479382E-5</v>
      </c>
      <c r="U2" s="7">
        <f>$B2 * IFERROR(VLOOKUP("electricity|NOx|Premature mortality", US_national_yearly!$D:$AM, 29, FALSE) / VLOOKUP("electricity|NOx|Premature mortality", US_national_yearly!$D:$AM, 10, FALSE), 1)</f>
        <v>2.0282318209263711E-5</v>
      </c>
      <c r="V2" s="7">
        <f>$B2 * IFERROR(VLOOKUP("electricity|NOx|Premature mortality", US_national_yearly!$D:$AM, 30, FALSE) / VLOOKUP("electricity|NOx|Premature mortality", US_national_yearly!$D:$AM, 10, FALSE), 1)</f>
        <v>2.0394472128048033E-5</v>
      </c>
      <c r="W2" s="7">
        <f>$B2 * IFERROR(VLOOKUP("electricity|NOx|Premature mortality", US_national_yearly!$D:$AM, 31, FALSE) / VLOOKUP("electricity|NOx|Premature mortality", US_national_yearly!$D:$AM, 10, FALSE), 1)</f>
        <v>2.0506626046832356E-5</v>
      </c>
      <c r="X2" s="7">
        <f>$B2 * IFERROR(VLOOKUP("electricity|NOx|Premature mortality", US_national_yearly!$D:$AM, 32, FALSE) / VLOOKUP("electricity|NOx|Premature mortality", US_national_yearly!$D:$AM, 10, FALSE), 1)</f>
        <v>2.0531998747463923E-5</v>
      </c>
      <c r="Y2" s="7">
        <f>$B2 * IFERROR(VLOOKUP("electricity|NOx|Premature mortality", US_national_yearly!$D:$AM, 33, FALSE) / VLOOKUP("electricity|NOx|Premature mortality", US_national_yearly!$D:$AM, 10, FALSE), 1)</f>
        <v>2.0557371448095487E-5</v>
      </c>
      <c r="Z2" s="7">
        <f>$B2 * IFERROR(VLOOKUP("electricity|NOx|Premature mortality", US_national_yearly!$D:$AM, 34, FALSE) / VLOOKUP("electricity|NOx|Premature mortality", US_national_yearly!$D:$AM, 10, FALSE), 1)</f>
        <v>2.0582744148727055E-5</v>
      </c>
      <c r="AA2" s="7">
        <f>$B2 * IFERROR(VLOOKUP("electricity|NOx|Premature mortality", US_national_yearly!$D:$AM, 35, FALSE) / VLOOKUP("electricity|NOx|Premature mortality", US_national_yearly!$D:$AM, 10, FALSE), 1)</f>
        <v>2.0608116849358619E-5</v>
      </c>
      <c r="AB2" s="7">
        <f>$B2 * IFERROR(VLOOKUP("electricity|NOx|Premature mortality", US_national_yearly!$D:$AM, 36, FALSE) / VLOOKUP("electricity|NOx|Premature mortality", US_national_yearly!$D:$AM, 10, FALSE), 1)</f>
        <v>2.0633489549990183E-5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2.4186577162350548E-8</v>
      </c>
      <c r="C3" s="7">
        <f>$B3 * IFERROR(VLOOKUP("electricity|NOx|Infant mortality", US_national_yearly!$D:$AM, 11, FALSE) / VLOOKUP("electricity|NOx|Infant mortality", US_national_yearly!$D:$AM, 10, FALSE), 1)</f>
        <v>2.3960297913959511E-8</v>
      </c>
      <c r="D3" s="7">
        <f>$B3 * IFERROR(VLOOKUP("electricity|NOx|Infant mortality", US_national_yearly!$D:$AM, 12, FALSE) / VLOOKUP("electricity|NOx|Infant mortality", US_national_yearly!$D:$AM, 10, FALSE), 1)</f>
        <v>2.3734018665568472E-8</v>
      </c>
      <c r="E3" s="7">
        <f>$B3 * IFERROR(VLOOKUP("electricity|NOx|Infant mortality", US_national_yearly!$D:$AM, 13, FALSE) / VLOOKUP("electricity|NOx|Infant mortality", US_national_yearly!$D:$AM, 10, FALSE), 1)</f>
        <v>2.3507739417177435E-8</v>
      </c>
      <c r="F3" s="7">
        <f>$B3 * IFERROR(VLOOKUP("electricity|NOx|Infant mortality", US_national_yearly!$D:$AM, 14, FALSE) / VLOOKUP("electricity|NOx|Infant mortality", US_national_yearly!$D:$AM, 10, FALSE), 1)</f>
        <v>2.3281460168786395E-8</v>
      </c>
      <c r="G3" s="7">
        <f>$B3 * IFERROR(VLOOKUP("electricity|NOx|Infant mortality", US_national_yearly!$D:$AM, 15, FALSE) / VLOOKUP("electricity|NOx|Infant mortality", US_national_yearly!$D:$AM, 10, FALSE), 1)</f>
        <v>1.542512080951163E-8</v>
      </c>
      <c r="H3" s="7">
        <f>$B3 * IFERROR(VLOOKUP("electricity|NOx|Infant mortality", US_national_yearly!$D:$AM, 16, FALSE) / VLOOKUP("electricity|NOx|Infant mortality", US_national_yearly!$D:$AM, 10, FALSE), 1)</f>
        <v>7.5687814502368669E-9</v>
      </c>
      <c r="I3" s="7">
        <f>$B3 * IFERROR(VLOOKUP("electricity|NOx|Infant mortality", US_national_yearly!$D:$AM, 17, FALSE) / VLOOKUP("electricity|NOx|Infant mortality", US_national_yearly!$D:$AM, 10, FALSE), 1)</f>
        <v>7.5137371355081398E-9</v>
      </c>
      <c r="J3" s="7">
        <f>$B3 * IFERROR(VLOOKUP("electricity|NOx|Infant mortality", US_national_yearly!$D:$AM, 18, FALSE) / VLOOKUP("electricity|NOx|Infant mortality", US_national_yearly!$D:$AM, 10, FALSE), 1)</f>
        <v>7.4586928207794128E-9</v>
      </c>
      <c r="K3" s="7">
        <f>$B3 * IFERROR(VLOOKUP("electricity|NOx|Infant mortality", US_national_yearly!$D:$AM, 19, FALSE) / VLOOKUP("electricity|NOx|Infant mortality", US_national_yearly!$D:$AM, 10, FALSE), 1)</f>
        <v>7.4036485060506848E-9</v>
      </c>
      <c r="L3" s="7">
        <f>$B3 * IFERROR(VLOOKUP("electricity|NOx|Infant mortality", US_national_yearly!$D:$AM, 20, FALSE) / VLOOKUP("electricity|NOx|Infant mortality", US_national_yearly!$D:$AM, 10, FALSE), 1)</f>
        <v>7.3486041913219578E-9</v>
      </c>
      <c r="M3" s="7">
        <f>$B3 * IFERROR(VLOOKUP("electricity|NOx|Infant mortality", US_national_yearly!$D:$AM, 21, FALSE) / VLOOKUP("electricity|NOx|Infant mortality", US_national_yearly!$D:$AM, 10, FALSE), 1)</f>
        <v>7.2935598765932282E-9</v>
      </c>
      <c r="N3" s="7">
        <f>$B3 * IFERROR(VLOOKUP("electricity|NOx|Infant mortality", US_national_yearly!$D:$AM, 22, FALSE) / VLOOKUP("electricity|NOx|Infant mortality", US_national_yearly!$D:$AM, 10, FALSE), 1)</f>
        <v>7.2565972238470313E-9</v>
      </c>
      <c r="O3" s="7">
        <f>$B3 * IFERROR(VLOOKUP("electricity|NOx|Infant mortality", US_national_yearly!$D:$AM, 23, FALSE) / VLOOKUP("electricity|NOx|Infant mortality", US_national_yearly!$D:$AM, 10, FALSE), 1)</f>
        <v>7.2196345711008327E-9</v>
      </c>
      <c r="P3" s="7">
        <f>$B3 * IFERROR(VLOOKUP("electricity|NOx|Infant mortality", US_national_yearly!$D:$AM, 24, FALSE) / VLOOKUP("electricity|NOx|Infant mortality", US_national_yearly!$D:$AM, 10, FALSE), 1)</f>
        <v>7.1826719183546334E-9</v>
      </c>
      <c r="Q3" s="7">
        <f>$B3 * IFERROR(VLOOKUP("electricity|NOx|Infant mortality", US_national_yearly!$D:$AM, 25, FALSE) / VLOOKUP("electricity|NOx|Infant mortality", US_national_yearly!$D:$AM, 10, FALSE), 1)</f>
        <v>7.1457092656084348E-9</v>
      </c>
      <c r="R3" s="7">
        <f>$B3 * IFERROR(VLOOKUP("electricity|NOx|Infant mortality", US_national_yearly!$D:$AM, 26, FALSE) / VLOOKUP("electricity|NOx|Infant mortality", US_national_yearly!$D:$AM, 10, FALSE), 1)</f>
        <v>7.1087466128622379E-9</v>
      </c>
      <c r="S3" s="7">
        <f>$B3 * IFERROR(VLOOKUP("electricity|NOx|Infant mortality", US_national_yearly!$D:$AM, 27, FALSE) / VLOOKUP("electricity|NOx|Infant mortality", US_national_yearly!$D:$AM, 10, FALSE), 1)</f>
        <v>7.0648655072108519E-9</v>
      </c>
      <c r="T3" s="7">
        <f>$B3 * IFERROR(VLOOKUP("electricity|NOx|Infant mortality", US_national_yearly!$D:$AM, 28, FALSE) / VLOOKUP("electricity|NOx|Infant mortality", US_national_yearly!$D:$AM, 10, FALSE), 1)</f>
        <v>7.0209844015594667E-9</v>
      </c>
      <c r="U3" s="7">
        <f>$B3 * IFERROR(VLOOKUP("electricity|NOx|Infant mortality", US_national_yearly!$D:$AM, 29, FALSE) / VLOOKUP("electricity|NOx|Infant mortality", US_national_yearly!$D:$AM, 10, FALSE), 1)</f>
        <v>6.9771032959080823E-9</v>
      </c>
      <c r="V3" s="7">
        <f>$B3 * IFERROR(VLOOKUP("electricity|NOx|Infant mortality", US_national_yearly!$D:$AM, 30, FALSE) / VLOOKUP("electricity|NOx|Infant mortality", US_national_yearly!$D:$AM, 10, FALSE), 1)</f>
        <v>6.9332221902566979E-9</v>
      </c>
      <c r="W3" s="7">
        <f>$B3 * IFERROR(VLOOKUP("electricity|NOx|Infant mortality", US_national_yearly!$D:$AM, 31, FALSE) / VLOOKUP("electricity|NOx|Infant mortality", US_national_yearly!$D:$AM, 10, FALSE), 1)</f>
        <v>6.8893410846053119E-9</v>
      </c>
      <c r="X3" s="7">
        <f>$B3 * IFERROR(VLOOKUP("electricity|NOx|Infant mortality", US_national_yearly!$D:$AM, 32, FALSE) / VLOOKUP("electricity|NOx|Infant mortality", US_national_yearly!$D:$AM, 10, FALSE), 1)</f>
        <v>6.8441578346957961E-9</v>
      </c>
      <c r="Y3" s="7">
        <f>$B3 * IFERROR(VLOOKUP("electricity|NOx|Infant mortality", US_national_yearly!$D:$AM, 33, FALSE) / VLOOKUP("electricity|NOx|Infant mortality", US_national_yearly!$D:$AM, 10, FALSE), 1)</f>
        <v>6.7989745847862803E-9</v>
      </c>
      <c r="Z3" s="7">
        <f>$B3 * IFERROR(VLOOKUP("electricity|NOx|Infant mortality", US_national_yearly!$D:$AM, 34, FALSE) / VLOOKUP("electricity|NOx|Infant mortality", US_national_yearly!$D:$AM, 10, FALSE), 1)</f>
        <v>6.7537913348767637E-9</v>
      </c>
      <c r="AA3" s="7">
        <f>$B3 * IFERROR(VLOOKUP("electricity|NOx|Infant mortality", US_national_yearly!$D:$AM, 35, FALSE) / VLOOKUP("electricity|NOx|Infant mortality", US_national_yearly!$D:$AM, 10, FALSE), 1)</f>
        <v>6.7086080849672479E-9</v>
      </c>
      <c r="AB3" s="7">
        <f>$B3 * IFERROR(VLOOKUP("electricity|NOx|Infant mortality", US_national_yearly!$D:$AM, 36, FALSE) / VLOOKUP("electricity|NOx|Infant mortality", US_national_yearly!$D:$AM, 10, FALSE), 1)</f>
        <v>6.6634248350577304E-9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3.4122328160068282E-5</v>
      </c>
      <c r="C6" s="7">
        <f>$B6 * IFERROR(VLOOKUP("electricity|NOx|Asthma symptoms cough", US_national_yearly!$D:$AM, 11, FALSE) / VLOOKUP("electricity|NOx|Asthma symptoms cough", US_national_yearly!$D:$AM, 10, FALSE), 1)</f>
        <v>3.4590784422630861E-5</v>
      </c>
      <c r="D6" s="7">
        <f>$B6 * IFERROR(VLOOKUP("electricity|NOx|Asthma symptoms cough", US_national_yearly!$D:$AM, 12, FALSE) / VLOOKUP("electricity|NOx|Asthma symptoms cough", US_national_yearly!$D:$AM, 10, FALSE), 1)</f>
        <v>3.5059240685193453E-5</v>
      </c>
      <c r="E6" s="7">
        <f>$B6 * IFERROR(VLOOKUP("electricity|NOx|Asthma symptoms cough", US_national_yearly!$D:$AM, 13, FALSE) / VLOOKUP("electricity|NOx|Asthma symptoms cough", US_national_yearly!$D:$AM, 10, FALSE), 1)</f>
        <v>3.5527696947756032E-5</v>
      </c>
      <c r="F6" s="7">
        <f>$B6 * IFERROR(VLOOKUP("electricity|NOx|Asthma symptoms cough", US_national_yearly!$D:$AM, 14, FALSE) / VLOOKUP("electricity|NOx|Asthma symptoms cough", US_national_yearly!$D:$AM, 10, FALSE), 1)</f>
        <v>3.599615321031861E-5</v>
      </c>
      <c r="G6" s="7">
        <f>$B6 * IFERROR(VLOOKUP("electricity|NOx|Asthma symptoms cough", US_national_yearly!$D:$AM, 15, FALSE) / VLOOKUP("electricity|NOx|Asthma symptoms cough", US_national_yearly!$D:$AM, 10, FALSE), 1)</f>
        <v>3.6377032990382637E-5</v>
      </c>
      <c r="H6" s="7">
        <f>$B6 * IFERROR(VLOOKUP("electricity|NOx|Asthma symptoms cough", US_national_yearly!$D:$AM, 16, FALSE) / VLOOKUP("electricity|NOx|Asthma symptoms cough", US_national_yearly!$D:$AM, 10, FALSE), 1)</f>
        <v>3.6757912770446663E-5</v>
      </c>
      <c r="I6" s="7">
        <f>$B6 * IFERROR(VLOOKUP("electricity|NOx|Asthma symptoms cough", US_national_yearly!$D:$AM, 17, FALSE) / VLOOKUP("electricity|NOx|Asthma symptoms cough", US_national_yearly!$D:$AM, 10, FALSE), 1)</f>
        <v>3.6899500274312387E-5</v>
      </c>
      <c r="J6" s="7">
        <f>$B6 * IFERROR(VLOOKUP("electricity|NOx|Asthma symptoms cough", US_national_yearly!$D:$AM, 18, FALSE) / VLOOKUP("electricity|NOx|Asthma symptoms cough", US_national_yearly!$D:$AM, 10, FALSE), 1)</f>
        <v>3.7041087778178104E-5</v>
      </c>
      <c r="K6" s="7">
        <f>$B6 * IFERROR(VLOOKUP("electricity|NOx|Asthma symptoms cough", US_national_yearly!$D:$AM, 19, FALSE) / VLOOKUP("electricity|NOx|Asthma symptoms cough", US_national_yearly!$D:$AM, 10, FALSE), 1)</f>
        <v>3.7182675282043835E-5</v>
      </c>
      <c r="L6" s="7">
        <f>$B6 * IFERROR(VLOOKUP("electricity|NOx|Asthma symptoms cough", US_national_yearly!$D:$AM, 20, FALSE) / VLOOKUP("electricity|NOx|Asthma symptoms cough", US_national_yearly!$D:$AM, 10, FALSE), 1)</f>
        <v>3.7324262785909559E-5</v>
      </c>
      <c r="M6" s="7">
        <f>$B6 * IFERROR(VLOOKUP("electricity|NOx|Asthma symptoms cough", US_national_yearly!$D:$AM, 21, FALSE) / VLOOKUP("electricity|NOx|Asthma symptoms cough", US_national_yearly!$D:$AM, 10, FALSE), 1)</f>
        <v>3.746585028977529E-5</v>
      </c>
      <c r="N6" s="7">
        <f>$B6 * IFERROR(VLOOKUP("electricity|NOx|Asthma symptoms cough", US_national_yearly!$D:$AM, 22, FALSE) / VLOOKUP("electricity|NOx|Asthma symptoms cough", US_national_yearly!$D:$AM, 10, FALSE), 1)</f>
        <v>3.762272806470164E-5</v>
      </c>
      <c r="O6" s="7">
        <f>$B6 * IFERROR(VLOOKUP("electricity|NOx|Asthma symptoms cough", US_national_yearly!$D:$AM, 23, FALSE) / VLOOKUP("electricity|NOx|Asthma symptoms cough", US_national_yearly!$D:$AM, 10, FALSE), 1)</f>
        <v>3.7779605839627996E-5</v>
      </c>
      <c r="P6" s="7">
        <f>$B6 * IFERROR(VLOOKUP("electricity|NOx|Asthma symptoms cough", US_national_yearly!$D:$AM, 24, FALSE) / VLOOKUP("electricity|NOx|Asthma symptoms cough", US_national_yearly!$D:$AM, 10, FALSE), 1)</f>
        <v>3.7936483614554345E-5</v>
      </c>
      <c r="Q6" s="7">
        <f>$B6 * IFERROR(VLOOKUP("electricity|NOx|Asthma symptoms cough", US_national_yearly!$D:$AM, 25, FALSE) / VLOOKUP("electricity|NOx|Asthma symptoms cough", US_national_yearly!$D:$AM, 10, FALSE), 1)</f>
        <v>3.8093361389480701E-5</v>
      </c>
      <c r="R6" s="7">
        <f>$B6 * IFERROR(VLOOKUP("electricity|NOx|Asthma symptoms cough", US_national_yearly!$D:$AM, 26, FALSE) / VLOOKUP("electricity|NOx|Asthma symptoms cough", US_national_yearly!$D:$AM, 10, FALSE), 1)</f>
        <v>3.825023916440705E-5</v>
      </c>
      <c r="S6" s="7">
        <f>$B6 * IFERROR(VLOOKUP("electricity|NOx|Asthma symptoms cough", US_national_yearly!$D:$AM, 27, FALSE) / VLOOKUP("electricity|NOx|Asthma symptoms cough", US_national_yearly!$D:$AM, 10, FALSE), 1)</f>
        <v>3.8445958635172453E-5</v>
      </c>
      <c r="T6" s="7">
        <f>$B6 * IFERROR(VLOOKUP("electricity|NOx|Asthma symptoms cough", US_national_yearly!$D:$AM, 28, FALSE) / VLOOKUP("electricity|NOx|Asthma symptoms cough", US_national_yearly!$D:$AM, 10, FALSE), 1)</f>
        <v>3.8641678105937855E-5</v>
      </c>
      <c r="U6" s="7">
        <f>$B6 * IFERROR(VLOOKUP("electricity|NOx|Asthma symptoms cough", US_national_yearly!$D:$AM, 29, FALSE) / VLOOKUP("electricity|NOx|Asthma symptoms cough", US_national_yearly!$D:$AM, 10, FALSE), 1)</f>
        <v>3.883739757670327E-5</v>
      </c>
      <c r="V6" s="7">
        <f>$B6 * IFERROR(VLOOKUP("electricity|NOx|Asthma symptoms cough", US_national_yearly!$D:$AM, 30, FALSE) / VLOOKUP("electricity|NOx|Asthma symptoms cough", US_national_yearly!$D:$AM, 10, FALSE), 1)</f>
        <v>3.9033117047468672E-5</v>
      </c>
      <c r="W6" s="7">
        <f>$B6 * IFERROR(VLOOKUP("electricity|NOx|Asthma symptoms cough", US_national_yearly!$D:$AM, 31, FALSE) / VLOOKUP("electricity|NOx|Asthma symptoms cough", US_national_yearly!$D:$AM, 10, FALSE), 1)</f>
        <v>3.9228836518234081E-5</v>
      </c>
      <c r="X6" s="7">
        <f>$B6 * IFERROR(VLOOKUP("electricity|NOx|Asthma symptoms cough", US_national_yearly!$D:$AM, 32, FALSE) / VLOOKUP("electricity|NOx|Asthma symptoms cough", US_national_yearly!$D:$AM, 10, FALSE), 1)</f>
        <v>3.9409154173111914E-5</v>
      </c>
      <c r="Y6" s="7">
        <f>$B6 * IFERROR(VLOOKUP("electricity|NOx|Asthma symptoms cough", US_national_yearly!$D:$AM, 33, FALSE) / VLOOKUP("electricity|NOx|Asthma symptoms cough", US_national_yearly!$D:$AM, 10, FALSE), 1)</f>
        <v>3.9589471827989748E-5</v>
      </c>
      <c r="Z6" s="7">
        <f>$B6 * IFERROR(VLOOKUP("electricity|NOx|Asthma symptoms cough", US_national_yearly!$D:$AM, 34, FALSE) / VLOOKUP("electricity|NOx|Asthma symptoms cough", US_national_yearly!$D:$AM, 10, FALSE), 1)</f>
        <v>3.9769789482867588E-5</v>
      </c>
      <c r="AA6" s="7">
        <f>$B6 * IFERROR(VLOOKUP("electricity|NOx|Asthma symptoms cough", US_national_yearly!$D:$AM, 35, FALSE) / VLOOKUP("electricity|NOx|Asthma symptoms cough", US_national_yearly!$D:$AM, 10, FALSE), 1)</f>
        <v>3.9950107137745414E-5</v>
      </c>
      <c r="AB6" s="7">
        <f>$B6 * IFERROR(VLOOKUP("electricity|NOx|Asthma symptoms cough", US_national_yearly!$D:$AM, 36, FALSE) / VLOOKUP("electricity|NOx|Asthma symptoms cough", US_national_yearly!$D:$AM, 10, FALSE), 1)</f>
        <v>4.0130424792623254E-5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4.5950726605737037E-5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4.6581571766906167E-5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4.7212416928075304E-5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4.7843262089244434E-5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4.8474107250413558E-5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4.898701781461473E-5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4.9499928378815882E-5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4.9690596746707177E-5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4.9881265114598452E-5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5.0071933482489734E-5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5.0262601850381002E-5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5.0453270218272284E-5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5.0664529182113231E-5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5.0875788145954184E-5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5.1087047109795124E-5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5.1298306073636077E-5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5.1509565037477023E-5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5.1773130049939852E-5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5.2036695062402668E-5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5.2300260074865504E-5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5.2563825087328319E-5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5.2827390099791155E-5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5.3070214304969385E-5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5.3313038510147629E-5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5.3555862715325859E-5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5.3798686920504096E-5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5.404151112568234E-5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7.0204700537839849E-5</v>
      </c>
      <c r="C8" s="7">
        <f>$B8 * IFERROR(VLOOKUP("electricity|NOx|Asthma symptoms wheeze", US_national_yearly!$D:$AM, 11, FALSE) / VLOOKUP("electricity|NOx|Asthma symptoms wheeze", US_national_yearly!$D:$AM, 10, FALSE), 1)</f>
        <v>7.1168521982422082E-5</v>
      </c>
      <c r="D8" s="7">
        <f>$B8 * IFERROR(VLOOKUP("electricity|NOx|Asthma symptoms wheeze", US_national_yearly!$D:$AM, 12, FALSE) / VLOOKUP("electricity|NOx|Asthma symptoms wheeze", US_national_yearly!$D:$AM, 10, FALSE), 1)</f>
        <v>7.2132343427004303E-5</v>
      </c>
      <c r="E8" s="7">
        <f>$B8 * IFERROR(VLOOKUP("electricity|NOx|Asthma symptoms wheeze", US_national_yearly!$D:$AM, 13, FALSE) / VLOOKUP("electricity|NOx|Asthma symptoms wheeze", US_national_yearly!$D:$AM, 10, FALSE), 1)</f>
        <v>7.3096164871586536E-5</v>
      </c>
      <c r="F8" s="7">
        <f>$B8 * IFERROR(VLOOKUP("electricity|NOx|Asthma symptoms wheeze", US_national_yearly!$D:$AM, 14, FALSE) / VLOOKUP("electricity|NOx|Asthma symptoms wheeze", US_national_yearly!$D:$AM, 10, FALSE), 1)</f>
        <v>7.4059986316168784E-5</v>
      </c>
      <c r="G8" s="7">
        <f>$B8 * IFERROR(VLOOKUP("electricity|NOx|Asthma symptoms wheeze", US_national_yearly!$D:$AM, 15, FALSE) / VLOOKUP("electricity|NOx|Asthma symptoms wheeze", US_national_yearly!$D:$AM, 10, FALSE), 1)</f>
        <v>7.4843624254412649E-5</v>
      </c>
      <c r="H8" s="7">
        <f>$B8 * IFERROR(VLOOKUP("electricity|NOx|Asthma symptoms wheeze", US_national_yearly!$D:$AM, 16, FALSE) / VLOOKUP("electricity|NOx|Asthma symptoms wheeze", US_national_yearly!$D:$AM, 10, FALSE), 1)</f>
        <v>7.5627262192656529E-5</v>
      </c>
      <c r="I8" s="7">
        <f>$B8 * IFERROR(VLOOKUP("electricity|NOx|Asthma symptoms wheeze", US_national_yearly!$D:$AM, 17, FALSE) / VLOOKUP("electricity|NOx|Asthma symptoms wheeze", US_national_yearly!$D:$AM, 10, FALSE), 1)</f>
        <v>7.5918570225442006E-5</v>
      </c>
      <c r="J8" s="7">
        <f>$B8 * IFERROR(VLOOKUP("electricity|NOx|Asthma symptoms wheeze", US_national_yearly!$D:$AM, 18, FALSE) / VLOOKUP("electricity|NOx|Asthma symptoms wheeze", US_national_yearly!$D:$AM, 10, FALSE), 1)</f>
        <v>7.6209878258227471E-5</v>
      </c>
      <c r="K8" s="7">
        <f>$B8 * IFERROR(VLOOKUP("electricity|NOx|Asthma symptoms wheeze", US_national_yearly!$D:$AM, 19, FALSE) / VLOOKUP("electricity|NOx|Asthma symptoms wheeze", US_national_yearly!$D:$AM, 10, FALSE), 1)</f>
        <v>7.6501186291012976E-5</v>
      </c>
      <c r="L8" s="7">
        <f>$B8 * IFERROR(VLOOKUP("electricity|NOx|Asthma symptoms wheeze", US_national_yearly!$D:$AM, 20, FALSE) / VLOOKUP("electricity|NOx|Asthma symptoms wheeze", US_national_yearly!$D:$AM, 10, FALSE), 1)</f>
        <v>7.6792494323798453E-5</v>
      </c>
      <c r="M8" s="7">
        <f>$B8 * IFERROR(VLOOKUP("electricity|NOx|Asthma symptoms wheeze", US_national_yearly!$D:$AM, 21, FALSE) / VLOOKUP("electricity|NOx|Asthma symptoms wheeze", US_national_yearly!$D:$AM, 10, FALSE), 1)</f>
        <v>7.7083802356583918E-5</v>
      </c>
      <c r="N8" s="7">
        <f>$B8 * IFERROR(VLOOKUP("electricity|NOx|Asthma symptoms wheeze", US_national_yearly!$D:$AM, 22, FALSE) / VLOOKUP("electricity|NOx|Asthma symptoms wheeze", US_national_yearly!$D:$AM, 10, FALSE), 1)</f>
        <v>7.740656923048867E-5</v>
      </c>
      <c r="O8" s="7">
        <f>$B8 * IFERROR(VLOOKUP("electricity|NOx|Asthma symptoms wheeze", US_national_yearly!$D:$AM, 23, FALSE) / VLOOKUP("electricity|NOx|Asthma symptoms wheeze", US_national_yearly!$D:$AM, 10, FALSE), 1)</f>
        <v>7.7729336104393422E-5</v>
      </c>
      <c r="P8" s="7">
        <f>$B8 * IFERROR(VLOOKUP("electricity|NOx|Asthma symptoms wheeze", US_national_yearly!$D:$AM, 24, FALSE) / VLOOKUP("electricity|NOx|Asthma symptoms wheeze", US_national_yearly!$D:$AM, 10, FALSE), 1)</f>
        <v>7.8052102978298188E-5</v>
      </c>
      <c r="Q8" s="7">
        <f>$B8 * IFERROR(VLOOKUP("electricity|NOx|Asthma symptoms wheeze", US_national_yearly!$D:$AM, 25, FALSE) / VLOOKUP("electricity|NOx|Asthma symptoms wheeze", US_national_yearly!$D:$AM, 10, FALSE), 1)</f>
        <v>7.8374869852202941E-5</v>
      </c>
      <c r="R8" s="7">
        <f>$B8 * IFERROR(VLOOKUP("electricity|NOx|Asthma symptoms wheeze", US_national_yearly!$D:$AM, 26, FALSE) / VLOOKUP("electricity|NOx|Asthma symptoms wheeze", US_national_yearly!$D:$AM, 10, FALSE), 1)</f>
        <v>7.869763672610768E-5</v>
      </c>
      <c r="S8" s="7">
        <f>$B8 * IFERROR(VLOOKUP("electricity|NOx|Asthma symptoms wheeze", US_national_yearly!$D:$AM, 27, FALSE) / VLOOKUP("electricity|NOx|Asthma symptoms wheeze", US_national_yearly!$D:$AM, 10, FALSE), 1)</f>
        <v>7.9100318124346281E-5</v>
      </c>
      <c r="T8" s="7">
        <f>$B8 * IFERROR(VLOOKUP("electricity|NOx|Asthma symptoms wheeze", US_national_yearly!$D:$AM, 28, FALSE) / VLOOKUP("electricity|NOx|Asthma symptoms wheeze", US_national_yearly!$D:$AM, 10, FALSE), 1)</f>
        <v>7.9502999522584869E-5</v>
      </c>
      <c r="U8" s="7">
        <f>$B8 * IFERROR(VLOOKUP("electricity|NOx|Asthma symptoms wheeze", US_national_yearly!$D:$AM, 29, FALSE) / VLOOKUP("electricity|NOx|Asthma symptoms wheeze", US_national_yearly!$D:$AM, 10, FALSE), 1)</f>
        <v>7.9905680920823444E-5</v>
      </c>
      <c r="V8" s="7">
        <f>$B8 * IFERROR(VLOOKUP("electricity|NOx|Asthma symptoms wheeze", US_national_yearly!$D:$AM, 30, FALSE) / VLOOKUP("electricity|NOx|Asthma symptoms wheeze", US_national_yearly!$D:$AM, 10, FALSE), 1)</f>
        <v>8.0308362319062045E-5</v>
      </c>
      <c r="W8" s="7">
        <f>$B8 * IFERROR(VLOOKUP("electricity|NOx|Asthma symptoms wheeze", US_national_yearly!$D:$AM, 31, FALSE) / VLOOKUP("electricity|NOx|Asthma symptoms wheeze", US_national_yearly!$D:$AM, 10, FALSE), 1)</f>
        <v>8.0711043717300633E-5</v>
      </c>
      <c r="X8" s="7">
        <f>$B8 * IFERROR(VLOOKUP("electricity|NOx|Asthma symptoms wheeze", US_national_yearly!$D:$AM, 32, FALSE) / VLOOKUP("electricity|NOx|Asthma symptoms wheeze", US_national_yearly!$D:$AM, 10, FALSE), 1)</f>
        <v>8.1082036777405022E-5</v>
      </c>
      <c r="Y8" s="7">
        <f>$B8 * IFERROR(VLOOKUP("electricity|NOx|Asthma symptoms wheeze", US_national_yearly!$D:$AM, 33, FALSE) / VLOOKUP("electricity|NOx|Asthma symptoms wheeze", US_national_yearly!$D:$AM, 10, FALSE), 1)</f>
        <v>8.1453029837509424E-5</v>
      </c>
      <c r="Z8" s="7">
        <f>$B8 * IFERROR(VLOOKUP("electricity|NOx|Asthma symptoms wheeze", US_national_yearly!$D:$AM, 34, FALSE) / VLOOKUP("electricity|NOx|Asthma symptoms wheeze", US_national_yearly!$D:$AM, 10, FALSE), 1)</f>
        <v>8.1824022897613799E-5</v>
      </c>
      <c r="AA8" s="7">
        <f>$B8 * IFERROR(VLOOKUP("electricity|NOx|Asthma symptoms wheeze", US_national_yearly!$D:$AM, 35, FALSE) / VLOOKUP("electricity|NOx|Asthma symptoms wheeze", US_national_yearly!$D:$AM, 10, FALSE), 1)</f>
        <v>8.2195015957718201E-5</v>
      </c>
      <c r="AB8" s="7">
        <f>$B8 * IFERROR(VLOOKUP("electricity|NOx|Asthma symptoms wheeze", US_national_yearly!$D:$AM, 36, FALSE) / VLOOKUP("electricity|NOx|Asthma symptoms wheeze", US_national_yearly!$D:$AM, 10, FALSE), 1)</f>
        <v>8.256600901782259E-5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1.1327962809515325E-6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1.1618090857451561E-6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1.1908218905387798E-6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1.2198346953324034E-6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1.2488475001260266E-6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1.2767768009772614E-6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1.3047061018284965E-6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1.3287230028622354E-6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1.3527399038959745E-6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1.3767568049297141E-6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1.400773705963453E-6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1.4247906069971923E-6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1.4412496908580415E-6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1.4577087747188905E-6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1.4741678585797395E-6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1.4906269424405887E-6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1.5070860263014377E-6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1.5164599996574823E-6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1.5258339730135273E-6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1.5352079463695717E-6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1.5445819197256162E-6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1.5539558930816608E-6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1.5607740112875249E-6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1.5675921294933886E-6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1.5744102476992529E-6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1.5812283659051168E-6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1.5880464841109807E-6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6.8999149052515535E-6</v>
      </c>
      <c r="C13" s="7">
        <f>$B13 * IFERROR(VLOOKUP("electricity|NOx|Non-fatal heart attacks", US_national_yearly!$D:$AM, 11, FALSE) / VLOOKUP("electricity|NOx|Non-fatal heart attacks", US_national_yearly!$D:$AM, 10, FALSE), 1)</f>
        <v>7.0979234541154099E-6</v>
      </c>
      <c r="D13" s="7">
        <f>$B13 * IFERROR(VLOOKUP("electricity|NOx|Non-fatal heart attacks", US_national_yearly!$D:$AM, 12, FALSE) / VLOOKUP("electricity|NOx|Non-fatal heart attacks", US_national_yearly!$D:$AM, 10, FALSE), 1)</f>
        <v>7.2959320029792664E-6</v>
      </c>
      <c r="E13" s="7">
        <f>$B13 * IFERROR(VLOOKUP("electricity|NOx|Non-fatal heart attacks", US_national_yearly!$D:$AM, 13, FALSE) / VLOOKUP("electricity|NOx|Non-fatal heart attacks", US_national_yearly!$D:$AM, 10, FALSE), 1)</f>
        <v>7.493940551843122E-6</v>
      </c>
      <c r="F13" s="7">
        <f>$B13 * IFERROR(VLOOKUP("electricity|NOx|Non-fatal heart attacks", US_national_yearly!$D:$AM, 14, FALSE) / VLOOKUP("electricity|NOx|Non-fatal heart attacks", US_national_yearly!$D:$AM, 10, FALSE), 1)</f>
        <v>7.6919491007069801E-6</v>
      </c>
      <c r="G13" s="7">
        <f>$B13 * IFERROR(VLOOKUP("electricity|NOx|Non-fatal heart attacks", US_national_yearly!$D:$AM, 15, FALSE) / VLOOKUP("electricity|NOx|Non-fatal heart attacks", US_national_yearly!$D:$AM, 10, FALSE), 1)</f>
        <v>7.8784807509971931E-6</v>
      </c>
      <c r="H13" s="7">
        <f>$B13 * IFERROR(VLOOKUP("electricity|NOx|Non-fatal heart attacks", US_national_yearly!$D:$AM, 16, FALSE) / VLOOKUP("electricity|NOx|Non-fatal heart attacks", US_national_yearly!$D:$AM, 10, FALSE), 1)</f>
        <v>8.0650124012874062E-6</v>
      </c>
      <c r="I13" s="7">
        <f>$B13 * IFERROR(VLOOKUP("electricity|NOx|Non-fatal heart attacks", US_national_yearly!$D:$AM, 17, FALSE) / VLOOKUP("electricity|NOx|Non-fatal heart attacks", US_national_yearly!$D:$AM, 10, FALSE), 1)</f>
        <v>8.2145919135408643E-6</v>
      </c>
      <c r="J13" s="7">
        <f>$B13 * IFERROR(VLOOKUP("electricity|NOx|Non-fatal heart attacks", US_national_yearly!$D:$AM, 18, FALSE) / VLOOKUP("electricity|NOx|Non-fatal heart attacks", US_national_yearly!$D:$AM, 10, FALSE), 1)</f>
        <v>8.3641714257943207E-6</v>
      </c>
      <c r="K13" s="7">
        <f>$B13 * IFERROR(VLOOKUP("electricity|NOx|Non-fatal heart attacks", US_national_yearly!$D:$AM, 19, FALSE) / VLOOKUP("electricity|NOx|Non-fatal heart attacks", US_national_yearly!$D:$AM, 10, FALSE), 1)</f>
        <v>8.5137509380477687E-6</v>
      </c>
      <c r="L13" s="7">
        <f>$B13 * IFERROR(VLOOKUP("electricity|NOx|Non-fatal heart attacks", US_national_yearly!$D:$AM, 20, FALSE) / VLOOKUP("electricity|NOx|Non-fatal heart attacks", US_national_yearly!$D:$AM, 10, FALSE), 1)</f>
        <v>8.6633304503012268E-6</v>
      </c>
      <c r="M13" s="7">
        <f>$B13 * IFERROR(VLOOKUP("electricity|NOx|Non-fatal heart attacks", US_national_yearly!$D:$AM, 21, FALSE) / VLOOKUP("electricity|NOx|Non-fatal heart attacks", US_national_yearly!$D:$AM, 10, FALSE), 1)</f>
        <v>8.8129099625546849E-6</v>
      </c>
      <c r="N13" s="7">
        <f>$B13 * IFERROR(VLOOKUP("electricity|NOx|Non-fatal heart attacks", US_national_yearly!$D:$AM, 22, FALSE) / VLOOKUP("electricity|NOx|Non-fatal heart attacks", US_national_yearly!$D:$AM, 10, FALSE), 1)</f>
        <v>8.9051587556420216E-6</v>
      </c>
      <c r="O13" s="7">
        <f>$B13 * IFERROR(VLOOKUP("electricity|NOx|Non-fatal heart attacks", US_national_yearly!$D:$AM, 23, FALSE) / VLOOKUP("electricity|NOx|Non-fatal heart attacks", US_national_yearly!$D:$AM, 10, FALSE), 1)</f>
        <v>8.9974075487293634E-6</v>
      </c>
      <c r="P13" s="7">
        <f>$B13 * IFERROR(VLOOKUP("electricity|NOx|Non-fatal heart attacks", US_national_yearly!$D:$AM, 24, FALSE) / VLOOKUP("electricity|NOx|Non-fatal heart attacks", US_national_yearly!$D:$AM, 10, FALSE), 1)</f>
        <v>9.0896563418167019E-6</v>
      </c>
      <c r="Q13" s="7">
        <f>$B13 * IFERROR(VLOOKUP("electricity|NOx|Non-fatal heart attacks", US_national_yearly!$D:$AM, 25, FALSE) / VLOOKUP("electricity|NOx|Non-fatal heart attacks", US_national_yearly!$D:$AM, 10, FALSE), 1)</f>
        <v>9.1819051349040403E-6</v>
      </c>
      <c r="R13" s="7">
        <f>$B13 * IFERROR(VLOOKUP("electricity|NOx|Non-fatal heart attacks", US_national_yearly!$D:$AM, 26, FALSE) / VLOOKUP("electricity|NOx|Non-fatal heart attacks", US_national_yearly!$D:$AM, 10, FALSE), 1)</f>
        <v>9.2741539279913804E-6</v>
      </c>
      <c r="S13" s="7">
        <f>$B13 * IFERROR(VLOOKUP("electricity|NOx|Non-fatal heart attacks", US_national_yearly!$D:$AM, 27, FALSE) / VLOOKUP("electricity|NOx|Non-fatal heart attacks", US_national_yearly!$D:$AM, 10, FALSE), 1)</f>
        <v>9.3192263809654228E-6</v>
      </c>
      <c r="T13" s="7">
        <f>$B13 * IFERROR(VLOOKUP("electricity|NOx|Non-fatal heart attacks", US_national_yearly!$D:$AM, 28, FALSE) / VLOOKUP("electricity|NOx|Non-fatal heart attacks", US_national_yearly!$D:$AM, 10, FALSE), 1)</f>
        <v>9.3642988339394652E-6</v>
      </c>
      <c r="U13" s="7">
        <f>$B13 * IFERROR(VLOOKUP("electricity|NOx|Non-fatal heart attacks", US_national_yearly!$D:$AM, 29, FALSE) / VLOOKUP("electricity|NOx|Non-fatal heart attacks", US_national_yearly!$D:$AM, 10, FALSE), 1)</f>
        <v>9.4093712869135092E-6</v>
      </c>
      <c r="V13" s="7">
        <f>$B13 * IFERROR(VLOOKUP("electricity|NOx|Non-fatal heart attacks", US_national_yearly!$D:$AM, 30, FALSE) / VLOOKUP("electricity|NOx|Non-fatal heart attacks", US_national_yearly!$D:$AM, 10, FALSE), 1)</f>
        <v>9.4544437398875499E-6</v>
      </c>
      <c r="W13" s="7">
        <f>$B13 * IFERROR(VLOOKUP("electricity|NOx|Non-fatal heart attacks", US_national_yearly!$D:$AM, 31, FALSE) / VLOOKUP("electricity|NOx|Non-fatal heart attacks", US_national_yearly!$D:$AM, 10, FALSE), 1)</f>
        <v>9.4995161928615957E-6</v>
      </c>
      <c r="X13" s="7">
        <f>$B13 * IFERROR(VLOOKUP("electricity|NOx|Non-fatal heart attacks", US_national_yearly!$D:$AM, 32, FALSE) / VLOOKUP("electricity|NOx|Non-fatal heart attacks", US_national_yearly!$D:$AM, 10, FALSE), 1)</f>
        <v>9.5309755672313212E-6</v>
      </c>
      <c r="Y13" s="7">
        <f>$B13 * IFERROR(VLOOKUP("electricity|NOx|Non-fatal heart attacks", US_national_yearly!$D:$AM, 33, FALSE) / VLOOKUP("electricity|NOx|Non-fatal heart attacks", US_national_yearly!$D:$AM, 10, FALSE), 1)</f>
        <v>9.5624349416010501E-6</v>
      </c>
      <c r="Z13" s="7">
        <f>$B13 * IFERROR(VLOOKUP("electricity|NOx|Non-fatal heart attacks", US_national_yearly!$D:$AM, 34, FALSE) / VLOOKUP("electricity|NOx|Non-fatal heart attacks", US_national_yearly!$D:$AM, 10, FALSE), 1)</f>
        <v>9.5938943159707755E-6</v>
      </c>
      <c r="AA13" s="7">
        <f>$B13 * IFERROR(VLOOKUP("electricity|NOx|Non-fatal heart attacks", US_national_yearly!$D:$AM, 35, FALSE) / VLOOKUP("electricity|NOx|Non-fatal heart attacks", US_national_yearly!$D:$AM, 10, FALSE), 1)</f>
        <v>9.625353690340501E-6</v>
      </c>
      <c r="AB13" s="7">
        <f>$B13 * IFERROR(VLOOKUP("electricity|NOx|Non-fatal heart attacks", US_national_yearly!$D:$AM, 36, FALSE) / VLOOKUP("electricity|NOx|Non-fatal heart attacks", US_national_yearly!$D:$AM, 10, FALSE), 1)</f>
        <v>9.6568130647102299E-6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4.8791718098500463E-3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4.8866526455546575E-3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4.8941334812592687E-3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4.9016143169638799E-3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4.909095152668492E-3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4.9221443443726483E-3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4.9351935360768028E-3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4.9610112734924036E-3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4.9868290109080018E-3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5.0126467483236027E-3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5.0384644857392009E-3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5.0642822231548017E-3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5.1016168406731776E-3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5.1389514581915525E-3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5.1762860757099275E-3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5.2136206932283033E-3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5.2509553107466791E-3</v>
      </c>
      <c r="S14" s="7">
        <f>$B14 * IFERROR(VLOOKUP("electricity|NOx|Minor restricted activity days", US_national_yearly!$D:$AM, 27, FALSE) / VLOOKUP("electricity|NOx|Minor restricted activity days", US_national_yearly!$D:$AM, 10, FALSE), 1)</f>
        <v>5.2885722646798233E-3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5.3261892186129665E-3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5.3638061725461116E-3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5.4014231264792557E-3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5.439040080412399E-3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5.4708528755758991E-3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5.5026656707393958E-3</v>
      </c>
      <c r="Z14" s="7">
        <f>$B14 * IFERROR(VLOOKUP("electricity|NOx|Minor restricted activity days", US_national_yearly!$D:$AM, 34, FALSE) / VLOOKUP("electricity|NOx|Minor restricted activity days", US_national_yearly!$D:$AM, 10, FALSE), 1)</f>
        <v>5.5344784659028994E-3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5.5662912610663987E-3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5.5981040562298971E-3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8.1918675473696375E-4</v>
      </c>
      <c r="C15" s="7">
        <f>$B15 * IFERROR(VLOOKUP("electricity|NOx|Work loss days", US_national_yearly!$D:$AM, 11, FALSE) / VLOOKUP("electricity|NOx|Work loss days", US_national_yearly!$D:$AM, 10, FALSE), 1)</f>
        <v>8.2101383397767001E-4</v>
      </c>
      <c r="D15" s="7">
        <f>$B15 * IFERROR(VLOOKUP("electricity|NOx|Work loss days", US_national_yearly!$D:$AM, 12, FALSE) / VLOOKUP("electricity|NOx|Work loss days", US_national_yearly!$D:$AM, 10, FALSE), 1)</f>
        <v>8.2284091321837627E-4</v>
      </c>
      <c r="E15" s="7">
        <f>$B15 * IFERROR(VLOOKUP("electricity|NOx|Work loss days", US_national_yearly!$D:$AM, 13, FALSE) / VLOOKUP("electricity|NOx|Work loss days", US_national_yearly!$D:$AM, 10, FALSE), 1)</f>
        <v>8.2466799245908243E-4</v>
      </c>
      <c r="F15" s="7">
        <f>$B15 * IFERROR(VLOOKUP("electricity|NOx|Work loss days", US_national_yearly!$D:$AM, 14, FALSE) / VLOOKUP("electricity|NOx|Work loss days", US_national_yearly!$D:$AM, 10, FALSE), 1)</f>
        <v>8.2649507169978869E-4</v>
      </c>
      <c r="G15" s="7">
        <f>$B15 * IFERROR(VLOOKUP("electricity|NOx|Work loss days", US_national_yearly!$D:$AM, 15, FALSE) / VLOOKUP("electricity|NOx|Work loss days", US_national_yearly!$D:$AM, 10, FALSE), 1)</f>
        <v>8.2907083458619497E-4</v>
      </c>
      <c r="H15" s="7">
        <f>$B15 * IFERROR(VLOOKUP("electricity|NOx|Work loss days", US_national_yearly!$D:$AM, 16, FALSE) / VLOOKUP("electricity|NOx|Work loss days", US_national_yearly!$D:$AM, 10, FALSE), 1)</f>
        <v>8.3164659747260114E-4</v>
      </c>
      <c r="I15" s="7">
        <f>$B15 * IFERROR(VLOOKUP("electricity|NOx|Work loss days", US_national_yearly!$D:$AM, 17, FALSE) / VLOOKUP("electricity|NOx|Work loss days", US_national_yearly!$D:$AM, 10, FALSE), 1)</f>
        <v>8.3582894494292148E-4</v>
      </c>
      <c r="J15" s="7">
        <f>$B15 * IFERROR(VLOOKUP("electricity|NOx|Work loss days", US_national_yearly!$D:$AM, 18, FALSE) / VLOOKUP("electricity|NOx|Work loss days", US_national_yearly!$D:$AM, 10, FALSE), 1)</f>
        <v>8.4001129241324194E-4</v>
      </c>
      <c r="K15" s="7">
        <f>$B15 * IFERROR(VLOOKUP("electricity|NOx|Work loss days", US_national_yearly!$D:$AM, 19, FALSE) / VLOOKUP("electricity|NOx|Work loss days", US_national_yearly!$D:$AM, 10, FALSE), 1)</f>
        <v>8.4419363988356218E-4</v>
      </c>
      <c r="L15" s="7">
        <f>$B15 * IFERROR(VLOOKUP("electricity|NOx|Work loss days", US_national_yearly!$D:$AM, 20, FALSE) / VLOOKUP("electricity|NOx|Work loss days", US_national_yearly!$D:$AM, 10, FALSE), 1)</f>
        <v>8.4837598735388242E-4</v>
      </c>
      <c r="M15" s="7">
        <f>$B15 * IFERROR(VLOOKUP("electricity|NOx|Work loss days", US_national_yearly!$D:$AM, 21, FALSE) / VLOOKUP("electricity|NOx|Work loss days", US_national_yearly!$D:$AM, 10, FALSE), 1)</f>
        <v>8.5255833482420266E-4</v>
      </c>
      <c r="N15" s="7">
        <f>$B15 * IFERROR(VLOOKUP("electricity|NOx|Work loss days", US_national_yearly!$D:$AM, 22, FALSE) / VLOOKUP("electricity|NOx|Work loss days", US_national_yearly!$D:$AM, 10, FALSE), 1)</f>
        <v>8.5807639468548171E-4</v>
      </c>
      <c r="O15" s="7">
        <f>$B15 * IFERROR(VLOOKUP("electricity|NOx|Work loss days", US_national_yearly!$D:$AM, 23, FALSE) / VLOOKUP("electricity|NOx|Work loss days", US_national_yearly!$D:$AM, 10, FALSE), 1)</f>
        <v>8.6359445454676055E-4</v>
      </c>
      <c r="P15" s="7">
        <f>$B15 * IFERROR(VLOOKUP("electricity|NOx|Work loss days", US_national_yearly!$D:$AM, 24, FALSE) / VLOOKUP("electricity|NOx|Work loss days", US_national_yearly!$D:$AM, 10, FALSE), 1)</f>
        <v>8.6911251440803961E-4</v>
      </c>
      <c r="Q15" s="7">
        <f>$B15 * IFERROR(VLOOKUP("electricity|NOx|Work loss days", US_national_yearly!$D:$AM, 25, FALSE) / VLOOKUP("electricity|NOx|Work loss days", US_national_yearly!$D:$AM, 10, FALSE), 1)</f>
        <v>8.7463057426931867E-4</v>
      </c>
      <c r="R15" s="7">
        <f>$B15 * IFERROR(VLOOKUP("electricity|NOx|Work loss days", US_national_yearly!$D:$AM, 26, FALSE) / VLOOKUP("electricity|NOx|Work loss days", US_national_yearly!$D:$AM, 10, FALSE), 1)</f>
        <v>8.8014863413059729E-4</v>
      </c>
      <c r="S15" s="7">
        <f>$B15 * IFERROR(VLOOKUP("electricity|NOx|Work loss days", US_national_yearly!$D:$AM, 27, FALSE) / VLOOKUP("electricity|NOx|Work loss days", US_national_yearly!$D:$AM, 10, FALSE), 1)</f>
        <v>8.8633232287567724E-4</v>
      </c>
      <c r="T15" s="7">
        <f>$B15 * IFERROR(VLOOKUP("electricity|NOx|Work loss days", US_national_yearly!$D:$AM, 28, FALSE) / VLOOKUP("electricity|NOx|Work loss days", US_national_yearly!$D:$AM, 10, FALSE), 1)</f>
        <v>8.9251601162075708E-4</v>
      </c>
      <c r="U15" s="7">
        <f>$B15 * IFERROR(VLOOKUP("electricity|NOx|Work loss days", US_national_yearly!$D:$AM, 29, FALSE) / VLOOKUP("electricity|NOx|Work loss days", US_national_yearly!$D:$AM, 10, FALSE), 1)</f>
        <v>8.9869970036583692E-4</v>
      </c>
      <c r="V15" s="7">
        <f>$B15 * IFERROR(VLOOKUP("electricity|NOx|Work loss days", US_national_yearly!$D:$AM, 30, FALSE) / VLOOKUP("electricity|NOx|Work loss days", US_national_yearly!$D:$AM, 10, FALSE), 1)</f>
        <v>9.0488338911091676E-4</v>
      </c>
      <c r="W15" s="7">
        <f>$B15 * IFERROR(VLOOKUP("electricity|NOx|Work loss days", US_national_yearly!$D:$AM, 31, FALSE) / VLOOKUP("electricity|NOx|Work loss days", US_national_yearly!$D:$AM, 10, FALSE), 1)</f>
        <v>9.1106707785599671E-4</v>
      </c>
      <c r="X15" s="7">
        <f>$B15 * IFERROR(VLOOKUP("electricity|NOx|Work loss days", US_national_yearly!$D:$AM, 32, FALSE) / VLOOKUP("electricity|NOx|Work loss days", US_national_yearly!$D:$AM, 10, FALSE), 1)</f>
        <v>9.1645742610828556E-4</v>
      </c>
      <c r="Y15" s="7">
        <f>$B15 * IFERROR(VLOOKUP("electricity|NOx|Work loss days", US_national_yearly!$D:$AM, 33, FALSE) / VLOOKUP("electricity|NOx|Work loss days", US_national_yearly!$D:$AM, 10, FALSE), 1)</f>
        <v>9.2184777436057441E-4</v>
      </c>
      <c r="Z15" s="7">
        <f>$B15 * IFERROR(VLOOKUP("electricity|NOx|Work loss days", US_national_yearly!$D:$AM, 34, FALSE) / VLOOKUP("electricity|NOx|Work loss days", US_national_yearly!$D:$AM, 10, FALSE), 1)</f>
        <v>9.2723812261286326E-4</v>
      </c>
      <c r="AA15" s="7">
        <f>$B15 * IFERROR(VLOOKUP("electricity|NOx|Work loss days", US_national_yearly!$D:$AM, 35, FALSE) / VLOOKUP("electricity|NOx|Work loss days", US_national_yearly!$D:$AM, 10, FALSE), 1)</f>
        <v>9.3262847086515233E-4</v>
      </c>
      <c r="AB15" s="7">
        <f>$B15 * IFERROR(VLOOKUP("electricity|NOx|Work loss days", US_national_yearly!$D:$AM, 36, FALSE) / VLOOKUP("electricity|NOx|Work loss days", US_national_yearly!$D:$AM, 10, FALSE), 1)</f>
        <v>9.3801881911744118E-4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1.7048895708812862E-6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1.7551098779706257E-6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1.8053301850599655E-6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1.8555504921493049E-6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1.9057707992386448E-6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1.9538606425513992E-6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2.0019504858641539E-6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2.0429976358114743E-6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2.0840447857587946E-6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2.1250919357061153E-6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2.1661390856534361E-6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2.2071862356007564E-6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2.2335291521980399E-6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2.2598720687953229E-6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2.2862149853926064E-6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2.3125579019898899E-6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2.3389008185871729E-6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2.3518646320910475E-6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2.364828445594922E-6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2.3777922590987961E-6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2.3907560726026711E-6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2.4037198861065456E-6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2.4114895919521207E-6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2.4192592977976962E-6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2.4270290036432716E-6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2.4347987094888467E-6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2.4425684153344222E-6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2.9569346839136198E-2</v>
      </c>
      <c r="C2" s="7">
        <f>$B2 * IFERROR(VLOOKUP("electricity|SO2|Premature mortality", US_national_yearly!$D:$AM, 11, FALSE) / VLOOKUP("electricity|SO2|Premature mortality", US_national_yearly!$D:$AM, 10, FALSE), 1)</f>
        <v>2.9948432687454795E-2</v>
      </c>
      <c r="D2" s="7">
        <f>$B2 * IFERROR(VLOOKUP("electricity|SO2|Premature mortality", US_national_yearly!$D:$AM, 12, FALSE) / VLOOKUP("electricity|SO2|Premature mortality", US_national_yearly!$D:$AM, 10, FALSE), 1)</f>
        <v>3.0327518535773382E-2</v>
      </c>
      <c r="E2" s="7">
        <f>$B2 * IFERROR(VLOOKUP("electricity|SO2|Premature mortality", US_national_yearly!$D:$AM, 13, FALSE) / VLOOKUP("electricity|SO2|Premature mortality", US_national_yearly!$D:$AM, 10, FALSE), 1)</f>
        <v>3.0706604384091979E-2</v>
      </c>
      <c r="F2" s="7">
        <f>$B2 * IFERROR(VLOOKUP("electricity|SO2|Premature mortality", US_national_yearly!$D:$AM, 14, FALSE) / VLOOKUP("electricity|SO2|Premature mortality", US_national_yearly!$D:$AM, 10, FALSE), 1)</f>
        <v>3.1085690232410569E-2</v>
      </c>
      <c r="G2" s="7">
        <f>$B2 * IFERROR(VLOOKUP("electricity|SO2|Premature mortality", US_national_yearly!$D:$AM, 15, FALSE) / VLOOKUP("electricity|SO2|Premature mortality", US_national_yearly!$D:$AM, 10, FALSE), 1)</f>
        <v>3.1815961625943461E-2</v>
      </c>
      <c r="H2" s="7">
        <f>$B2 * IFERROR(VLOOKUP("electricity|SO2|Premature mortality", US_national_yearly!$D:$AM, 16, FALSE) / VLOOKUP("electricity|SO2|Premature mortality", US_national_yearly!$D:$AM, 10, FALSE), 1)</f>
        <v>3.2546233019476345E-2</v>
      </c>
      <c r="I2" s="7">
        <f>$B2 * IFERROR(VLOOKUP("electricity|SO2|Premature mortality", US_national_yearly!$D:$AM, 17, FALSE) / VLOOKUP("electricity|SO2|Premature mortality", US_national_yearly!$D:$AM, 10, FALSE), 1)</f>
        <v>3.3037806529806243E-2</v>
      </c>
      <c r="J2" s="7">
        <f>$B2 * IFERROR(VLOOKUP("electricity|SO2|Premature mortality", US_national_yearly!$D:$AM, 18, FALSE) / VLOOKUP("electricity|SO2|Premature mortality", US_national_yearly!$D:$AM, 10, FALSE), 1)</f>
        <v>3.3529380040136135E-2</v>
      </c>
      <c r="K2" s="7">
        <f>$B2 * IFERROR(VLOOKUP("electricity|SO2|Premature mortality", US_national_yearly!$D:$AM, 19, FALSE) / VLOOKUP("electricity|SO2|Premature mortality", US_national_yearly!$D:$AM, 10, FALSE), 1)</f>
        <v>3.402095355046602E-2</v>
      </c>
      <c r="L2" s="7">
        <f>$B2 * IFERROR(VLOOKUP("electricity|SO2|Premature mortality", US_national_yearly!$D:$AM, 20, FALSE) / VLOOKUP("electricity|SO2|Premature mortality", US_national_yearly!$D:$AM, 10, FALSE), 1)</f>
        <v>3.4512527060795918E-2</v>
      </c>
      <c r="M2" s="7">
        <f>$B2 * IFERROR(VLOOKUP("electricity|SO2|Premature mortality", US_national_yearly!$D:$AM, 21, FALSE) / VLOOKUP("electricity|SO2|Premature mortality", US_national_yearly!$D:$AM, 10, FALSE), 1)</f>
        <v>3.5004100571125803E-2</v>
      </c>
      <c r="N2" s="7">
        <f>$B2 * IFERROR(VLOOKUP("electricity|SO2|Premature mortality", US_national_yearly!$D:$AM, 22, FALSE) / VLOOKUP("electricity|SO2|Premature mortality", US_national_yearly!$D:$AM, 10, FALSE), 1)</f>
        <v>3.5398057559103281E-2</v>
      </c>
      <c r="O2" s="7">
        <f>$B2 * IFERROR(VLOOKUP("electricity|SO2|Premature mortality", US_national_yearly!$D:$AM, 23, FALSE) / VLOOKUP("electricity|SO2|Premature mortality", US_national_yearly!$D:$AM, 10, FALSE), 1)</f>
        <v>3.5792014547080767E-2</v>
      </c>
      <c r="P2" s="7">
        <f>$B2 * IFERROR(VLOOKUP("electricity|SO2|Premature mortality", US_national_yearly!$D:$AM, 24, FALSE) / VLOOKUP("electricity|SO2|Premature mortality", US_national_yearly!$D:$AM, 10, FALSE), 1)</f>
        <v>3.6185971535058238E-2</v>
      </c>
      <c r="Q2" s="7">
        <f>$B2 * IFERROR(VLOOKUP("electricity|SO2|Premature mortality", US_national_yearly!$D:$AM, 25, FALSE) / VLOOKUP("electricity|SO2|Premature mortality", US_national_yearly!$D:$AM, 10, FALSE), 1)</f>
        <v>3.6579928523035717E-2</v>
      </c>
      <c r="R2" s="7">
        <f>$B2 * IFERROR(VLOOKUP("electricity|SO2|Premature mortality", US_national_yearly!$D:$AM, 26, FALSE) / VLOOKUP("electricity|SO2|Premature mortality", US_national_yearly!$D:$AM, 10, FALSE), 1)</f>
        <v>3.6973885511013195E-2</v>
      </c>
      <c r="S2" s="7">
        <f>$B2 * IFERROR(VLOOKUP("electricity|SO2|Premature mortality", US_national_yearly!$D:$AM, 27, FALSE) / VLOOKUP("electricity|SO2|Premature mortality", US_national_yearly!$D:$AM, 10, FALSE), 1)</f>
        <v>3.7199752559525269E-2</v>
      </c>
      <c r="T2" s="7">
        <f>$B2 * IFERROR(VLOOKUP("electricity|SO2|Premature mortality", US_national_yearly!$D:$AM, 28, FALSE) / VLOOKUP("electricity|SO2|Premature mortality", US_national_yearly!$D:$AM, 10, FALSE), 1)</f>
        <v>3.7425619608037343E-2</v>
      </c>
      <c r="U2" s="7">
        <f>$B2 * IFERROR(VLOOKUP("electricity|SO2|Premature mortality", US_national_yearly!$D:$AM, 29, FALSE) / VLOOKUP("electricity|SO2|Premature mortality", US_national_yearly!$D:$AM, 10, FALSE), 1)</f>
        <v>3.7651486656549417E-2</v>
      </c>
      <c r="V2" s="7">
        <f>$B2 * IFERROR(VLOOKUP("electricity|SO2|Premature mortality", US_national_yearly!$D:$AM, 30, FALSE) / VLOOKUP("electricity|SO2|Premature mortality", US_national_yearly!$D:$AM, 10, FALSE), 1)</f>
        <v>3.7877353705061498E-2</v>
      </c>
      <c r="W2" s="7">
        <f>$B2 * IFERROR(VLOOKUP("electricity|SO2|Premature mortality", US_national_yearly!$D:$AM, 31, FALSE) / VLOOKUP("electricity|SO2|Premature mortality", US_national_yearly!$D:$AM, 10, FALSE), 1)</f>
        <v>3.8103220753573572E-2</v>
      </c>
      <c r="X2" s="7">
        <f>$B2 * IFERROR(VLOOKUP("electricity|SO2|Premature mortality", US_national_yearly!$D:$AM, 32, FALSE) / VLOOKUP("electricity|SO2|Premature mortality", US_national_yearly!$D:$AM, 10, FALSE), 1)</f>
        <v>3.8169771501042414E-2</v>
      </c>
      <c r="Y2" s="7">
        <f>$B2 * IFERROR(VLOOKUP("electricity|SO2|Premature mortality", US_national_yearly!$D:$AM, 33, FALSE) / VLOOKUP("electricity|SO2|Premature mortality", US_national_yearly!$D:$AM, 10, FALSE), 1)</f>
        <v>3.8236322248511256E-2</v>
      </c>
      <c r="Z2" s="7">
        <f>$B2 * IFERROR(VLOOKUP("electricity|SO2|Premature mortality", US_national_yearly!$D:$AM, 34, FALSE) / VLOOKUP("electricity|SO2|Premature mortality", US_national_yearly!$D:$AM, 10, FALSE), 1)</f>
        <v>3.8302872995980099E-2</v>
      </c>
      <c r="AA2" s="7">
        <f>$B2 * IFERROR(VLOOKUP("electricity|SO2|Premature mortality", US_national_yearly!$D:$AM, 35, FALSE) / VLOOKUP("electricity|SO2|Premature mortality", US_national_yearly!$D:$AM, 10, FALSE), 1)</f>
        <v>3.8369423743448941E-2</v>
      </c>
      <c r="AB2" s="7">
        <f>$B2 * IFERROR(VLOOKUP("electricity|SO2|Premature mortality", US_national_yearly!$D:$AM, 36, FALSE) / VLOOKUP("electricity|SO2|Premature mortality", US_national_yearly!$D:$AM, 10, FALSE), 1)</f>
        <v>3.8435974490917783E-2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3.5656948008133629E-5</v>
      </c>
      <c r="C3" s="7">
        <f>$B3 * IFERROR(VLOOKUP("electricity|SO2|Infant mortality", US_national_yearly!$D:$AM, 11, FALSE) / VLOOKUP("electricity|SO2|Infant mortality", US_national_yearly!$D:$AM, 10, FALSE), 1)</f>
        <v>3.5355714594349605E-5</v>
      </c>
      <c r="D3" s="7">
        <f>$B3 * IFERROR(VLOOKUP("electricity|SO2|Infant mortality", US_national_yearly!$D:$AM, 12, FALSE) / VLOOKUP("electricity|SO2|Infant mortality", US_national_yearly!$D:$AM, 10, FALSE), 1)</f>
        <v>3.5054481180565574E-5</v>
      </c>
      <c r="E3" s="7">
        <f>$B3 * IFERROR(VLOOKUP("electricity|SO2|Infant mortality", US_national_yearly!$D:$AM, 13, FALSE) / VLOOKUP("electricity|SO2|Infant mortality", US_national_yearly!$D:$AM, 10, FALSE), 1)</f>
        <v>3.4753247766781549E-5</v>
      </c>
      <c r="F3" s="7">
        <f>$B3 * IFERROR(VLOOKUP("electricity|SO2|Infant mortality", US_national_yearly!$D:$AM, 14, FALSE) / VLOOKUP("electricity|SO2|Infant mortality", US_national_yearly!$D:$AM, 10, FALSE), 1)</f>
        <v>3.4452014352997525E-5</v>
      </c>
      <c r="G3" s="7">
        <f>$B3 * IFERROR(VLOOKUP("electricity|SO2|Infant mortality", US_national_yearly!$D:$AM, 15, FALSE) / VLOOKUP("electricity|SO2|Infant mortality", US_national_yearly!$D:$AM, 10, FALSE), 1)</f>
        <v>2.2912374202729543E-5</v>
      </c>
      <c r="H3" s="7">
        <f>$B3 * IFERROR(VLOOKUP("electricity|SO2|Infant mortality", US_national_yearly!$D:$AM, 16, FALSE) / VLOOKUP("electricity|SO2|Infant mortality", US_national_yearly!$D:$AM, 10, FALSE), 1)</f>
        <v>1.1372734052461558E-5</v>
      </c>
      <c r="I3" s="7">
        <f>$B3 * IFERROR(VLOOKUP("electricity|SO2|Infant mortality", US_national_yearly!$D:$AM, 17, FALSE) / VLOOKUP("electricity|SO2|Infant mortality", US_national_yearly!$D:$AM, 10, FALSE), 1)</f>
        <v>1.1299977206542083E-5</v>
      </c>
      <c r="J3" s="7">
        <f>$B3 * IFERROR(VLOOKUP("electricity|SO2|Infant mortality", US_national_yearly!$D:$AM, 18, FALSE) / VLOOKUP("electricity|SO2|Infant mortality", US_national_yearly!$D:$AM, 10, FALSE), 1)</f>
        <v>1.1227220360622606E-5</v>
      </c>
      <c r="K3" s="7">
        <f>$B3 * IFERROR(VLOOKUP("electricity|SO2|Infant mortality", US_national_yearly!$D:$AM, 19, FALSE) / VLOOKUP("electricity|SO2|Infant mortality", US_national_yearly!$D:$AM, 10, FALSE), 1)</f>
        <v>1.1154463514703133E-5</v>
      </c>
      <c r="L3" s="7">
        <f>$B3 * IFERROR(VLOOKUP("electricity|SO2|Infant mortality", US_national_yearly!$D:$AM, 20, FALSE) / VLOOKUP("electricity|SO2|Infant mortality", US_national_yearly!$D:$AM, 10, FALSE), 1)</f>
        <v>1.1081706668783655E-5</v>
      </c>
      <c r="M3" s="7">
        <f>$B3 * IFERROR(VLOOKUP("electricity|SO2|Infant mortality", US_national_yearly!$D:$AM, 21, FALSE) / VLOOKUP("electricity|SO2|Infant mortality", US_national_yearly!$D:$AM, 10, FALSE), 1)</f>
        <v>1.100894982286418E-5</v>
      </c>
      <c r="N3" s="7">
        <f>$B3 * IFERROR(VLOOKUP("electricity|SO2|Infant mortality", US_national_yearly!$D:$AM, 22, FALSE) / VLOOKUP("electricity|SO2|Infant mortality", US_national_yearly!$D:$AM, 10, FALSE), 1)</f>
        <v>1.0962847861213332E-5</v>
      </c>
      <c r="O3" s="7">
        <f>$B3 * IFERROR(VLOOKUP("electricity|SO2|Infant mortality", US_national_yearly!$D:$AM, 23, FALSE) / VLOOKUP("electricity|SO2|Infant mortality", US_national_yearly!$D:$AM, 10, FALSE), 1)</f>
        <v>1.0916745899562485E-5</v>
      </c>
      <c r="P3" s="7">
        <f>$B3 * IFERROR(VLOOKUP("electricity|SO2|Infant mortality", US_national_yearly!$D:$AM, 24, FALSE) / VLOOKUP("electricity|SO2|Infant mortality", US_national_yearly!$D:$AM, 10, FALSE), 1)</f>
        <v>1.0870643937911635E-5</v>
      </c>
      <c r="Q3" s="7">
        <f>$B3 * IFERROR(VLOOKUP("electricity|SO2|Infant mortality", US_national_yearly!$D:$AM, 25, FALSE) / VLOOKUP("electricity|SO2|Infant mortality", US_national_yearly!$D:$AM, 10, FALSE), 1)</f>
        <v>1.0824541976260788E-5</v>
      </c>
      <c r="R3" s="7">
        <f>$B3 * IFERROR(VLOOKUP("electricity|SO2|Infant mortality", US_national_yearly!$D:$AM, 26, FALSE) / VLOOKUP("electricity|SO2|Infant mortality", US_national_yearly!$D:$AM, 10, FALSE), 1)</f>
        <v>1.0778440014609942E-5</v>
      </c>
      <c r="S3" s="7">
        <f>$B3 * IFERROR(VLOOKUP("electricity|SO2|Infant mortality", US_national_yearly!$D:$AM, 27, FALSE) / VLOOKUP("electricity|SO2|Infant mortality", US_national_yearly!$D:$AM, 10, FALSE), 1)</f>
        <v>1.0720979761029403E-5</v>
      </c>
      <c r="T3" s="7">
        <f>$B3 * IFERROR(VLOOKUP("electricity|SO2|Infant mortality", US_national_yearly!$D:$AM, 28, FALSE) / VLOOKUP("electricity|SO2|Infant mortality", US_national_yearly!$D:$AM, 10, FALSE), 1)</f>
        <v>1.0663519507448866E-5</v>
      </c>
      <c r="U3" s="7">
        <f>$B3 * IFERROR(VLOOKUP("electricity|SO2|Infant mortality", US_national_yearly!$D:$AM, 29, FALSE) / VLOOKUP("electricity|SO2|Infant mortality", US_national_yearly!$D:$AM, 10, FALSE), 1)</f>
        <v>1.060605925386833E-5</v>
      </c>
      <c r="V3" s="7">
        <f>$B3 * IFERROR(VLOOKUP("electricity|SO2|Infant mortality", US_national_yearly!$D:$AM, 30, FALSE) / VLOOKUP("electricity|SO2|Infant mortality", US_national_yearly!$D:$AM, 10, FALSE), 1)</f>
        <v>1.0548599000287793E-5</v>
      </c>
      <c r="W3" s="7">
        <f>$B3 * IFERROR(VLOOKUP("electricity|SO2|Infant mortality", US_national_yearly!$D:$AM, 31, FALSE) / VLOOKUP("electricity|SO2|Infant mortality", US_national_yearly!$D:$AM, 10, FALSE), 1)</f>
        <v>1.0491138746707254E-5</v>
      </c>
      <c r="X3" s="7">
        <f>$B3 * IFERROR(VLOOKUP("electricity|SO2|Infant mortality", US_national_yearly!$D:$AM, 32, FALSE) / VLOOKUP("electricity|SO2|Infant mortality", US_national_yearly!$D:$AM, 10, FALSE), 1)</f>
        <v>1.0429830338798112E-5</v>
      </c>
      <c r="Y3" s="7">
        <f>$B3 * IFERROR(VLOOKUP("electricity|SO2|Infant mortality", US_national_yearly!$D:$AM, 33, FALSE) / VLOOKUP("electricity|SO2|Infant mortality", US_national_yearly!$D:$AM, 10, FALSE), 1)</f>
        <v>1.0368521930888967E-5</v>
      </c>
      <c r="Z3" s="7">
        <f>$B3 * IFERROR(VLOOKUP("electricity|SO2|Infant mortality", US_national_yearly!$D:$AM, 34, FALSE) / VLOOKUP("electricity|SO2|Infant mortality", US_national_yearly!$D:$AM, 10, FALSE), 1)</f>
        <v>1.0307213522979825E-5</v>
      </c>
      <c r="AA3" s="7">
        <f>$B3 * IFERROR(VLOOKUP("electricity|SO2|Infant mortality", US_national_yearly!$D:$AM, 35, FALSE) / VLOOKUP("electricity|SO2|Infant mortality", US_national_yearly!$D:$AM, 10, FALSE), 1)</f>
        <v>1.0245905115070683E-5</v>
      </c>
      <c r="AB3" s="7">
        <f>$B3 * IFERROR(VLOOKUP("electricity|SO2|Infant mortality", US_national_yearly!$D:$AM, 36, FALSE) / VLOOKUP("electricity|SO2|Infant mortality", US_national_yearly!$D:$AM, 10, FALSE), 1)</f>
        <v>1.0184596707161541E-5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5.688615242907151E-2</v>
      </c>
      <c r="C6" s="7">
        <f>$B6 * IFERROR(VLOOKUP("electricity|SO2|Asthma symptoms cough", US_national_yearly!$D:$AM, 11, FALSE) / VLOOKUP("electricity|SO2|Asthma symptoms cough", US_national_yearly!$D:$AM, 10, FALSE), 1)</f>
        <v>5.688615242907151E-2</v>
      </c>
      <c r="D6" s="7">
        <f>$B6 * IFERROR(VLOOKUP("electricity|SO2|Asthma symptoms cough", US_national_yearly!$D:$AM, 12, FALSE) / VLOOKUP("electricity|SO2|Asthma symptoms cough", US_national_yearly!$D:$AM, 10, FALSE), 1)</f>
        <v>5.688615242907151E-2</v>
      </c>
      <c r="E6" s="7">
        <f>$B6 * IFERROR(VLOOKUP("electricity|SO2|Asthma symptoms cough", US_national_yearly!$D:$AM, 13, FALSE) / VLOOKUP("electricity|SO2|Asthma symptoms cough", US_national_yearly!$D:$AM, 10, FALSE), 1)</f>
        <v>5.688615242907151E-2</v>
      </c>
      <c r="F6" s="7">
        <f>$B6 * IFERROR(VLOOKUP("electricity|SO2|Asthma symptoms cough", US_national_yearly!$D:$AM, 14, FALSE) / VLOOKUP("electricity|SO2|Asthma symptoms cough", US_national_yearly!$D:$AM, 10, FALSE), 1)</f>
        <v>5.688615242907151E-2</v>
      </c>
      <c r="G6" s="7">
        <f>$B6 * IFERROR(VLOOKUP("electricity|SO2|Asthma symptoms cough", US_national_yearly!$D:$AM, 15, FALSE) / VLOOKUP("electricity|SO2|Asthma symptoms cough", US_national_yearly!$D:$AM, 10, FALSE), 1)</f>
        <v>5.688615242907151E-2</v>
      </c>
      <c r="H6" s="7">
        <f>$B6 * IFERROR(VLOOKUP("electricity|SO2|Asthma symptoms cough", US_national_yearly!$D:$AM, 16, FALSE) / VLOOKUP("electricity|SO2|Asthma symptoms cough", US_national_yearly!$D:$AM, 10, FALSE), 1)</f>
        <v>5.688615242907151E-2</v>
      </c>
      <c r="I6" s="7">
        <f>$B6 * IFERROR(VLOOKUP("electricity|SO2|Asthma symptoms cough", US_national_yearly!$D:$AM, 17, FALSE) / VLOOKUP("electricity|SO2|Asthma symptoms cough", US_national_yearly!$D:$AM, 10, FALSE), 1)</f>
        <v>5.688615242907151E-2</v>
      </c>
      <c r="J6" s="7">
        <f>$B6 * IFERROR(VLOOKUP("electricity|SO2|Asthma symptoms cough", US_national_yearly!$D:$AM, 18, FALSE) / VLOOKUP("electricity|SO2|Asthma symptoms cough", US_national_yearly!$D:$AM, 10, FALSE), 1)</f>
        <v>5.688615242907151E-2</v>
      </c>
      <c r="K6" s="7">
        <f>$B6 * IFERROR(VLOOKUP("electricity|SO2|Asthma symptoms cough", US_national_yearly!$D:$AM, 19, FALSE) / VLOOKUP("electricity|SO2|Asthma symptoms cough", US_national_yearly!$D:$AM, 10, FALSE), 1)</f>
        <v>5.688615242907151E-2</v>
      </c>
      <c r="L6" s="7">
        <f>$B6 * IFERROR(VLOOKUP("electricity|SO2|Asthma symptoms cough", US_national_yearly!$D:$AM, 20, FALSE) / VLOOKUP("electricity|SO2|Asthma symptoms cough", US_national_yearly!$D:$AM, 10, FALSE), 1)</f>
        <v>5.688615242907151E-2</v>
      </c>
      <c r="M6" s="7">
        <f>$B6 * IFERROR(VLOOKUP("electricity|SO2|Asthma symptoms cough", US_national_yearly!$D:$AM, 21, FALSE) / VLOOKUP("electricity|SO2|Asthma symptoms cough", US_national_yearly!$D:$AM, 10, FALSE), 1)</f>
        <v>5.688615242907151E-2</v>
      </c>
      <c r="N6" s="7">
        <f>$B6 * IFERROR(VLOOKUP("electricity|SO2|Asthma symptoms cough", US_national_yearly!$D:$AM, 22, FALSE) / VLOOKUP("electricity|SO2|Asthma symptoms cough", US_national_yearly!$D:$AM, 10, FALSE), 1)</f>
        <v>5.688615242907151E-2</v>
      </c>
      <c r="O6" s="7">
        <f>$B6 * IFERROR(VLOOKUP("electricity|SO2|Asthma symptoms cough", US_national_yearly!$D:$AM, 23, FALSE) / VLOOKUP("electricity|SO2|Asthma symptoms cough", US_national_yearly!$D:$AM, 10, FALSE), 1)</f>
        <v>5.688615242907151E-2</v>
      </c>
      <c r="P6" s="7">
        <f>$B6 * IFERROR(VLOOKUP("electricity|SO2|Asthma symptoms cough", US_national_yearly!$D:$AM, 24, FALSE) / VLOOKUP("electricity|SO2|Asthma symptoms cough", US_national_yearly!$D:$AM, 10, FALSE), 1)</f>
        <v>5.688615242907151E-2</v>
      </c>
      <c r="Q6" s="7">
        <f>$B6 * IFERROR(VLOOKUP("electricity|SO2|Asthma symptoms cough", US_national_yearly!$D:$AM, 25, FALSE) / VLOOKUP("electricity|SO2|Asthma symptoms cough", US_national_yearly!$D:$AM, 10, FALSE), 1)</f>
        <v>5.688615242907151E-2</v>
      </c>
      <c r="R6" s="7">
        <f>$B6 * IFERROR(VLOOKUP("electricity|SO2|Asthma symptoms cough", US_national_yearly!$D:$AM, 26, FALSE) / VLOOKUP("electricity|SO2|Asthma symptoms cough", US_national_yearly!$D:$AM, 10, FALSE), 1)</f>
        <v>5.688615242907151E-2</v>
      </c>
      <c r="S6" s="7">
        <f>$B6 * IFERROR(VLOOKUP("electricity|SO2|Asthma symptoms cough", US_national_yearly!$D:$AM, 27, FALSE) / VLOOKUP("electricity|SO2|Asthma symptoms cough", US_national_yearly!$D:$AM, 10, FALSE), 1)</f>
        <v>5.688615242907151E-2</v>
      </c>
      <c r="T6" s="7">
        <f>$B6 * IFERROR(VLOOKUP("electricity|SO2|Asthma symptoms cough", US_national_yearly!$D:$AM, 28, FALSE) / VLOOKUP("electricity|SO2|Asthma symptoms cough", US_national_yearly!$D:$AM, 10, FALSE), 1)</f>
        <v>5.688615242907151E-2</v>
      </c>
      <c r="U6" s="7">
        <f>$B6 * IFERROR(VLOOKUP("electricity|SO2|Asthma symptoms cough", US_national_yearly!$D:$AM, 29, FALSE) / VLOOKUP("electricity|SO2|Asthma symptoms cough", US_national_yearly!$D:$AM, 10, FALSE), 1)</f>
        <v>5.688615242907151E-2</v>
      </c>
      <c r="V6" s="7">
        <f>$B6 * IFERROR(VLOOKUP("electricity|SO2|Asthma symptoms cough", US_national_yearly!$D:$AM, 30, FALSE) / VLOOKUP("electricity|SO2|Asthma symptoms cough", US_national_yearly!$D:$AM, 10, FALSE), 1)</f>
        <v>5.688615242907151E-2</v>
      </c>
      <c r="W6" s="7">
        <f>$B6 * IFERROR(VLOOKUP("electricity|SO2|Asthma symptoms cough", US_national_yearly!$D:$AM, 31, FALSE) / VLOOKUP("electricity|SO2|Asthma symptoms cough", US_national_yearly!$D:$AM, 10, FALSE), 1)</f>
        <v>5.688615242907151E-2</v>
      </c>
      <c r="X6" s="7">
        <f>$B6 * IFERROR(VLOOKUP("electricity|SO2|Asthma symptoms cough", US_national_yearly!$D:$AM, 32, FALSE) / VLOOKUP("electricity|SO2|Asthma symptoms cough", US_national_yearly!$D:$AM, 10, FALSE), 1)</f>
        <v>5.688615242907151E-2</v>
      </c>
      <c r="Y6" s="7">
        <f>$B6 * IFERROR(VLOOKUP("electricity|SO2|Asthma symptoms cough", US_national_yearly!$D:$AM, 33, FALSE) / VLOOKUP("electricity|SO2|Asthma symptoms cough", US_national_yearly!$D:$AM, 10, FALSE), 1)</f>
        <v>5.688615242907151E-2</v>
      </c>
      <c r="Z6" s="7">
        <f>$B6 * IFERROR(VLOOKUP("electricity|SO2|Asthma symptoms cough", US_national_yearly!$D:$AM, 34, FALSE) / VLOOKUP("electricity|SO2|Asthma symptoms cough", US_national_yearly!$D:$AM, 10, FALSE), 1)</f>
        <v>5.688615242907151E-2</v>
      </c>
      <c r="AA6" s="7">
        <f>$B6 * IFERROR(VLOOKUP("electricity|SO2|Asthma symptoms cough", US_national_yearly!$D:$AM, 35, FALSE) / VLOOKUP("electricity|SO2|Asthma symptoms cough", US_national_yearly!$D:$AM, 10, FALSE), 1)</f>
        <v>5.688615242907151E-2</v>
      </c>
      <c r="AB6" s="7">
        <f>$B6 * IFERROR(VLOOKUP("electricity|SO2|Asthma symptoms cough", US_national_yearly!$D:$AM, 36, FALSE) / VLOOKUP("electricity|SO2|Asthma symptoms cough", US_national_yearly!$D:$AM, 10, FALSE), 1)</f>
        <v>5.688615242907151E-2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7.6605541962791748E-2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7.6605541962791748E-2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7.6605541962791748E-2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7.6605541962791748E-2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7.6605541962791748E-2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7.6605541962791748E-2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7.6605541962791748E-2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7.6605541962791748E-2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7.6605541962791748E-2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7.6605541962791748E-2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7.6605541962791748E-2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7.6605541962791748E-2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7.6605541962791748E-2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7.6605541962791748E-2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7.6605541962791748E-2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7.6605541962791748E-2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7.6605541962791748E-2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7.6605541962791748E-2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7.6605541962791748E-2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7.6605541962791748E-2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7.6605541962791748E-2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7.6605541962791748E-2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7.6605541962791748E-2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7.6605541962791748E-2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7.6605541962791748E-2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7.6605541962791748E-2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7.6605541962791748E-2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0.11703998815090984</v>
      </c>
      <c r="C8" s="7">
        <f>$B8 * IFERROR(VLOOKUP("electricity|SO2|Asthma symptoms wheeze", US_national_yearly!$D:$AM, 11, FALSE) / VLOOKUP("electricity|SO2|Asthma symptoms wheeze", US_national_yearly!$D:$AM, 10, FALSE), 1)</f>
        <v>0.11703998815090984</v>
      </c>
      <c r="D8" s="7">
        <f>$B8 * IFERROR(VLOOKUP("electricity|SO2|Asthma symptoms wheeze", US_national_yearly!$D:$AM, 12, FALSE) / VLOOKUP("electricity|SO2|Asthma symptoms wheeze", US_national_yearly!$D:$AM, 10, FALSE), 1)</f>
        <v>0.11703998815090984</v>
      </c>
      <c r="E8" s="7">
        <f>$B8 * IFERROR(VLOOKUP("electricity|SO2|Asthma symptoms wheeze", US_national_yearly!$D:$AM, 13, FALSE) / VLOOKUP("electricity|SO2|Asthma symptoms wheeze", US_national_yearly!$D:$AM, 10, FALSE), 1)</f>
        <v>0.11703998815090984</v>
      </c>
      <c r="F8" s="7">
        <f>$B8 * IFERROR(VLOOKUP("electricity|SO2|Asthma symptoms wheeze", US_national_yearly!$D:$AM, 14, FALSE) / VLOOKUP("electricity|SO2|Asthma symptoms wheeze", US_national_yearly!$D:$AM, 10, FALSE), 1)</f>
        <v>0.11703998815090984</v>
      </c>
      <c r="G8" s="7">
        <f>$B8 * IFERROR(VLOOKUP("electricity|SO2|Asthma symptoms wheeze", US_national_yearly!$D:$AM, 15, FALSE) / VLOOKUP("electricity|SO2|Asthma symptoms wheeze", US_national_yearly!$D:$AM, 10, FALSE), 1)</f>
        <v>0.11703998815090984</v>
      </c>
      <c r="H8" s="7">
        <f>$B8 * IFERROR(VLOOKUP("electricity|SO2|Asthma symptoms wheeze", US_national_yearly!$D:$AM, 16, FALSE) / VLOOKUP("electricity|SO2|Asthma symptoms wheeze", US_national_yearly!$D:$AM, 10, FALSE), 1)</f>
        <v>0.11703998815090984</v>
      </c>
      <c r="I8" s="7">
        <f>$B8 * IFERROR(VLOOKUP("electricity|SO2|Asthma symptoms wheeze", US_national_yearly!$D:$AM, 17, FALSE) / VLOOKUP("electricity|SO2|Asthma symptoms wheeze", US_national_yearly!$D:$AM, 10, FALSE), 1)</f>
        <v>0.11703998815090984</v>
      </c>
      <c r="J8" s="7">
        <f>$B8 * IFERROR(VLOOKUP("electricity|SO2|Asthma symptoms wheeze", US_national_yearly!$D:$AM, 18, FALSE) / VLOOKUP("electricity|SO2|Asthma symptoms wheeze", US_national_yearly!$D:$AM, 10, FALSE), 1)</f>
        <v>0.11703998815090984</v>
      </c>
      <c r="K8" s="7">
        <f>$B8 * IFERROR(VLOOKUP("electricity|SO2|Asthma symptoms wheeze", US_national_yearly!$D:$AM, 19, FALSE) / VLOOKUP("electricity|SO2|Asthma symptoms wheeze", US_national_yearly!$D:$AM, 10, FALSE), 1)</f>
        <v>0.11703998815090984</v>
      </c>
      <c r="L8" s="7">
        <f>$B8 * IFERROR(VLOOKUP("electricity|SO2|Asthma symptoms wheeze", US_national_yearly!$D:$AM, 20, FALSE) / VLOOKUP("electricity|SO2|Asthma symptoms wheeze", US_national_yearly!$D:$AM, 10, FALSE), 1)</f>
        <v>0.11703998815090984</v>
      </c>
      <c r="M8" s="7">
        <f>$B8 * IFERROR(VLOOKUP("electricity|SO2|Asthma symptoms wheeze", US_national_yearly!$D:$AM, 21, FALSE) / VLOOKUP("electricity|SO2|Asthma symptoms wheeze", US_national_yearly!$D:$AM, 10, FALSE), 1)</f>
        <v>0.11703998815090984</v>
      </c>
      <c r="N8" s="7">
        <f>$B8 * IFERROR(VLOOKUP("electricity|SO2|Asthma symptoms wheeze", US_national_yearly!$D:$AM, 22, FALSE) / VLOOKUP("electricity|SO2|Asthma symptoms wheeze", US_national_yearly!$D:$AM, 10, FALSE), 1)</f>
        <v>0.11703998815090984</v>
      </c>
      <c r="O8" s="7">
        <f>$B8 * IFERROR(VLOOKUP("electricity|SO2|Asthma symptoms wheeze", US_national_yearly!$D:$AM, 23, FALSE) / VLOOKUP("electricity|SO2|Asthma symptoms wheeze", US_national_yearly!$D:$AM, 10, FALSE), 1)</f>
        <v>0.11703998815090984</v>
      </c>
      <c r="P8" s="7">
        <f>$B8 * IFERROR(VLOOKUP("electricity|SO2|Asthma symptoms wheeze", US_national_yearly!$D:$AM, 24, FALSE) / VLOOKUP("electricity|SO2|Asthma symptoms wheeze", US_national_yearly!$D:$AM, 10, FALSE), 1)</f>
        <v>0.11703998815090984</v>
      </c>
      <c r="Q8" s="7">
        <f>$B8 * IFERROR(VLOOKUP("electricity|SO2|Asthma symptoms wheeze", US_national_yearly!$D:$AM, 25, FALSE) / VLOOKUP("electricity|SO2|Asthma symptoms wheeze", US_national_yearly!$D:$AM, 10, FALSE), 1)</f>
        <v>0.11703998815090984</v>
      </c>
      <c r="R8" s="7">
        <f>$B8 * IFERROR(VLOOKUP("electricity|SO2|Asthma symptoms wheeze", US_national_yearly!$D:$AM, 26, FALSE) / VLOOKUP("electricity|SO2|Asthma symptoms wheeze", US_national_yearly!$D:$AM, 10, FALSE), 1)</f>
        <v>0.11703998815090984</v>
      </c>
      <c r="S8" s="7">
        <f>$B8 * IFERROR(VLOOKUP("electricity|SO2|Asthma symptoms wheeze", US_national_yearly!$D:$AM, 27, FALSE) / VLOOKUP("electricity|SO2|Asthma symptoms wheeze", US_national_yearly!$D:$AM, 10, FALSE), 1)</f>
        <v>0.11703998815090984</v>
      </c>
      <c r="T8" s="7">
        <f>$B8 * IFERROR(VLOOKUP("electricity|SO2|Asthma symptoms wheeze", US_national_yearly!$D:$AM, 28, FALSE) / VLOOKUP("electricity|SO2|Asthma symptoms wheeze", US_national_yearly!$D:$AM, 10, FALSE), 1)</f>
        <v>0.11703998815090984</v>
      </c>
      <c r="U8" s="7">
        <f>$B8 * IFERROR(VLOOKUP("electricity|SO2|Asthma symptoms wheeze", US_national_yearly!$D:$AM, 29, FALSE) / VLOOKUP("electricity|SO2|Asthma symptoms wheeze", US_national_yearly!$D:$AM, 10, FALSE), 1)</f>
        <v>0.11703998815090984</v>
      </c>
      <c r="V8" s="7">
        <f>$B8 * IFERROR(VLOOKUP("electricity|SO2|Asthma symptoms wheeze", US_national_yearly!$D:$AM, 30, FALSE) / VLOOKUP("electricity|SO2|Asthma symptoms wheeze", US_national_yearly!$D:$AM, 10, FALSE), 1)</f>
        <v>0.11703998815090984</v>
      </c>
      <c r="W8" s="7">
        <f>$B8 * IFERROR(VLOOKUP("electricity|SO2|Asthma symptoms wheeze", US_national_yearly!$D:$AM, 31, FALSE) / VLOOKUP("electricity|SO2|Asthma symptoms wheeze", US_national_yearly!$D:$AM, 10, FALSE), 1)</f>
        <v>0.11703998815090984</v>
      </c>
      <c r="X8" s="7">
        <f>$B8 * IFERROR(VLOOKUP("electricity|SO2|Asthma symptoms wheeze", US_national_yearly!$D:$AM, 32, FALSE) / VLOOKUP("electricity|SO2|Asthma symptoms wheeze", US_national_yearly!$D:$AM, 10, FALSE), 1)</f>
        <v>0.11703998815090984</v>
      </c>
      <c r="Y8" s="7">
        <f>$B8 * IFERROR(VLOOKUP("electricity|SO2|Asthma symptoms wheeze", US_national_yearly!$D:$AM, 33, FALSE) / VLOOKUP("electricity|SO2|Asthma symptoms wheeze", US_national_yearly!$D:$AM, 10, FALSE), 1)</f>
        <v>0.11703998815090984</v>
      </c>
      <c r="Z8" s="7">
        <f>$B8 * IFERROR(VLOOKUP("electricity|SO2|Asthma symptoms wheeze", US_national_yearly!$D:$AM, 34, FALSE) / VLOOKUP("electricity|SO2|Asthma symptoms wheeze", US_national_yearly!$D:$AM, 10, FALSE), 1)</f>
        <v>0.11703998815090984</v>
      </c>
      <c r="AA8" s="7">
        <f>$B8 * IFERROR(VLOOKUP("electricity|SO2|Asthma symptoms wheeze", US_national_yearly!$D:$AM, 35, FALSE) / VLOOKUP("electricity|SO2|Asthma symptoms wheeze", US_national_yearly!$D:$AM, 10, FALSE), 1)</f>
        <v>0.11703998815090984</v>
      </c>
      <c r="AB8" s="7">
        <f>$B8 * IFERROR(VLOOKUP("electricity|SO2|Asthma symptoms wheeze", US_national_yearly!$D:$AM, 36, FALSE) / VLOOKUP("electricity|SO2|Asthma symptoms wheeze", US_national_yearly!$D:$AM, 10, FALSE), 1)</f>
        <v>0.11703998815090984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2.2020596712810309E-3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2.2150289900027573E-3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2.2279983087244845E-3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2.2409676274462108E-3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2.2539369461679376E-3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2.2680695552386161E-3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2.282202164309295E-3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2.2957979407722691E-3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2.3093937172352437E-3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2.3229894936982183E-3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2.3365852701611924E-3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2.350181046624167E-3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2.3599327587171641E-3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2.3696844708101616E-3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2.3794361829031587E-3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2.3891878949961558E-3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2.3989396070891538E-3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2.4081437878610461E-3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2.4173479686329389E-3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2.4265521494048316E-3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2.4357563301767244E-3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2.4449605109486171E-3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2.4537903295316892E-3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2.4626201481147622E-3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2.4714499666978352E-3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2.4802797852809073E-3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2.4891096038639803E-3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1.3121067923216705E-2</v>
      </c>
      <c r="C13" s="7">
        <f>$B13 * IFERROR(VLOOKUP("electricity|SO2|Non-fatal heart attacks", US_national_yearly!$D:$AM, 11, FALSE) / VLOOKUP("electricity|SO2|Non-fatal heart attacks", US_national_yearly!$D:$AM, 10, FALSE), 1)</f>
        <v>1.3507556451570582E-2</v>
      </c>
      <c r="D13" s="7">
        <f>$B13 * IFERROR(VLOOKUP("electricity|SO2|Non-fatal heart attacks", US_national_yearly!$D:$AM, 12, FALSE) / VLOOKUP("electricity|SO2|Non-fatal heart attacks", US_national_yearly!$D:$AM, 10, FALSE), 1)</f>
        <v>1.3894044979924454E-2</v>
      </c>
      <c r="E13" s="7">
        <f>$B13 * IFERROR(VLOOKUP("electricity|SO2|Non-fatal heart attacks", US_national_yearly!$D:$AM, 13, FALSE) / VLOOKUP("electricity|SO2|Non-fatal heart attacks", US_national_yearly!$D:$AM, 10, FALSE), 1)</f>
        <v>1.4280533508278331E-2</v>
      </c>
      <c r="F13" s="7">
        <f>$B13 * IFERROR(VLOOKUP("electricity|SO2|Non-fatal heart attacks", US_national_yearly!$D:$AM, 14, FALSE) / VLOOKUP("electricity|SO2|Non-fatal heart attacks", US_national_yearly!$D:$AM, 10, FALSE), 1)</f>
        <v>1.4667022036632204E-2</v>
      </c>
      <c r="G13" s="7">
        <f>$B13 * IFERROR(VLOOKUP("electricity|SO2|Non-fatal heart attacks", US_national_yearly!$D:$AM, 15, FALSE) / VLOOKUP("electricity|SO2|Non-fatal heart attacks", US_national_yearly!$D:$AM, 10, FALSE), 1)</f>
        <v>1.503381124587996E-2</v>
      </c>
      <c r="H13" s="7">
        <f>$B13 * IFERROR(VLOOKUP("electricity|SO2|Non-fatal heart attacks", US_national_yearly!$D:$AM, 16, FALSE) / VLOOKUP("electricity|SO2|Non-fatal heart attacks", US_national_yearly!$D:$AM, 10, FALSE), 1)</f>
        <v>1.5400600455127719E-2</v>
      </c>
      <c r="I13" s="7">
        <f>$B13 * IFERROR(VLOOKUP("electricity|SO2|Non-fatal heart attacks", US_national_yearly!$D:$AM, 17, FALSE) / VLOOKUP("electricity|SO2|Non-fatal heart attacks", US_national_yearly!$D:$AM, 10, FALSE), 1)</f>
        <v>1.5699308282717078E-2</v>
      </c>
      <c r="J13" s="7">
        <f>$B13 * IFERROR(VLOOKUP("electricity|SO2|Non-fatal heart attacks", US_national_yearly!$D:$AM, 18, FALSE) / VLOOKUP("electricity|SO2|Non-fatal heart attacks", US_national_yearly!$D:$AM, 10, FALSE), 1)</f>
        <v>1.5998016110306434E-2</v>
      </c>
      <c r="K13" s="7">
        <f>$B13 * IFERROR(VLOOKUP("electricity|SO2|Non-fatal heart attacks", US_national_yearly!$D:$AM, 19, FALSE) / VLOOKUP("electricity|SO2|Non-fatal heart attacks", US_national_yearly!$D:$AM, 10, FALSE), 1)</f>
        <v>1.6296723937895795E-2</v>
      </c>
      <c r="L13" s="7">
        <f>$B13 * IFERROR(VLOOKUP("electricity|SO2|Non-fatal heart attacks", US_national_yearly!$D:$AM, 20, FALSE) / VLOOKUP("electricity|SO2|Non-fatal heart attacks", US_national_yearly!$D:$AM, 10, FALSE), 1)</f>
        <v>1.6595431765485155E-2</v>
      </c>
      <c r="M13" s="7">
        <f>$B13 * IFERROR(VLOOKUP("electricity|SO2|Non-fatal heart attacks", US_national_yearly!$D:$AM, 21, FALSE) / VLOOKUP("electricity|SO2|Non-fatal heart attacks", US_national_yearly!$D:$AM, 10, FALSE), 1)</f>
        <v>1.6894139593074516E-2</v>
      </c>
      <c r="N13" s="7">
        <f>$B13 * IFERROR(VLOOKUP("electricity|SO2|Non-fatal heart attacks", US_national_yearly!$D:$AM, 22, FALSE) / VLOOKUP("electricity|SO2|Non-fatal heart attacks", US_national_yearly!$D:$AM, 10, FALSE), 1)</f>
        <v>1.7091123342669216E-2</v>
      </c>
      <c r="O13" s="7">
        <f>$B13 * IFERROR(VLOOKUP("electricity|SO2|Non-fatal heart attacks", US_national_yearly!$D:$AM, 23, FALSE) / VLOOKUP("electricity|SO2|Non-fatal heart attacks", US_national_yearly!$D:$AM, 10, FALSE), 1)</f>
        <v>1.7288107092263919E-2</v>
      </c>
      <c r="P13" s="7">
        <f>$B13 * IFERROR(VLOOKUP("electricity|SO2|Non-fatal heart attacks", US_national_yearly!$D:$AM, 24, FALSE) / VLOOKUP("electricity|SO2|Non-fatal heart attacks", US_national_yearly!$D:$AM, 10, FALSE), 1)</f>
        <v>1.7485090841858623E-2</v>
      </c>
      <c r="Q13" s="7">
        <f>$B13 * IFERROR(VLOOKUP("electricity|SO2|Non-fatal heart attacks", US_national_yearly!$D:$AM, 25, FALSE) / VLOOKUP("electricity|SO2|Non-fatal heart attacks", US_national_yearly!$D:$AM, 10, FALSE), 1)</f>
        <v>1.7682074591453326E-2</v>
      </c>
      <c r="R13" s="7">
        <f>$B13 * IFERROR(VLOOKUP("electricity|SO2|Non-fatal heart attacks", US_national_yearly!$D:$AM, 26, FALSE) / VLOOKUP("electricity|SO2|Non-fatal heart attacks", US_national_yearly!$D:$AM, 10, FALSE), 1)</f>
        <v>1.787905834104803E-2</v>
      </c>
      <c r="S13" s="7">
        <f>$B13 * IFERROR(VLOOKUP("electricity|SO2|Non-fatal heart attacks", US_national_yearly!$D:$AM, 27, FALSE) / VLOOKUP("electricity|SO2|Non-fatal heart attacks", US_national_yearly!$D:$AM, 10, FALSE), 1)</f>
        <v>1.7986252209950235E-2</v>
      </c>
      <c r="T13" s="7">
        <f>$B13 * IFERROR(VLOOKUP("electricity|SO2|Non-fatal heart attacks", US_national_yearly!$D:$AM, 28, FALSE) / VLOOKUP("electricity|SO2|Non-fatal heart attacks", US_national_yearly!$D:$AM, 10, FALSE), 1)</f>
        <v>1.8093446078852448E-2</v>
      </c>
      <c r="U13" s="7">
        <f>$B13 * IFERROR(VLOOKUP("electricity|SO2|Non-fatal heart attacks", US_national_yearly!$D:$AM, 29, FALSE) / VLOOKUP("electricity|SO2|Non-fatal heart attacks", US_national_yearly!$D:$AM, 10, FALSE), 1)</f>
        <v>1.8200639947754657E-2</v>
      </c>
      <c r="V13" s="7">
        <f>$B13 * IFERROR(VLOOKUP("electricity|SO2|Non-fatal heart attacks", US_national_yearly!$D:$AM, 30, FALSE) / VLOOKUP("electricity|SO2|Non-fatal heart attacks", US_national_yearly!$D:$AM, 10, FALSE), 1)</f>
        <v>1.8307833816656863E-2</v>
      </c>
      <c r="W13" s="7">
        <f>$B13 * IFERROR(VLOOKUP("electricity|SO2|Non-fatal heart attacks", US_national_yearly!$D:$AM, 31, FALSE) / VLOOKUP("electricity|SO2|Non-fatal heart attacks", US_national_yearly!$D:$AM, 10, FALSE), 1)</f>
        <v>1.8415027685559072E-2</v>
      </c>
      <c r="X13" s="7">
        <f>$B13 * IFERROR(VLOOKUP("electricity|SO2|Non-fatal heart attacks", US_national_yearly!$D:$AM, 32, FALSE) / VLOOKUP("electricity|SO2|Non-fatal heart attacks", US_national_yearly!$D:$AM, 10, FALSE), 1)</f>
        <v>1.8497370472454942E-2</v>
      </c>
      <c r="Y13" s="7">
        <f>$B13 * IFERROR(VLOOKUP("electricity|SO2|Non-fatal heart attacks", US_national_yearly!$D:$AM, 33, FALSE) / VLOOKUP("electricity|SO2|Non-fatal heart attacks", US_national_yearly!$D:$AM, 10, FALSE), 1)</f>
        <v>1.8579713259350816E-2</v>
      </c>
      <c r="Z13" s="7">
        <f>$B13 * IFERROR(VLOOKUP("electricity|SO2|Non-fatal heart attacks", US_national_yearly!$D:$AM, 34, FALSE) / VLOOKUP("electricity|SO2|Non-fatal heart attacks", US_national_yearly!$D:$AM, 10, FALSE), 1)</f>
        <v>1.8662056046246683E-2</v>
      </c>
      <c r="AA13" s="7">
        <f>$B13 * IFERROR(VLOOKUP("electricity|SO2|Non-fatal heart attacks", US_national_yearly!$D:$AM, 35, FALSE) / VLOOKUP("electricity|SO2|Non-fatal heart attacks", US_national_yearly!$D:$AM, 10, FALSE), 1)</f>
        <v>1.874439883314255E-2</v>
      </c>
      <c r="AB13" s="7">
        <f>$B13 * IFERROR(VLOOKUP("electricity|SO2|Non-fatal heart attacks", US_national_yearly!$D:$AM, 36, FALSE) / VLOOKUP("electricity|SO2|Non-fatal heart attacks", US_national_yearly!$D:$AM, 10, FALSE), 1)</f>
        <v>1.8826741620038421E-2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8.6434718385013927</v>
      </c>
      <c r="C14" s="7">
        <f>$B14 * IFERROR(VLOOKUP("electricity|SO2|Minor restricted activity days", US_national_yearly!$D:$AM, 11, FALSE) / VLOOKUP("electricity|SO2|Minor restricted activity days", US_national_yearly!$D:$AM, 10, FALSE), 1)</f>
        <v>8.6651924697497869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8.686913100998181</v>
      </c>
      <c r="E14" s="7">
        <f>$B14 * IFERROR(VLOOKUP("electricity|SO2|Minor restricted activity days", US_national_yearly!$D:$AM, 13, FALSE) / VLOOKUP("electricity|SO2|Minor restricted activity days", US_national_yearly!$D:$AM, 10, FALSE), 1)</f>
        <v>8.7086337322465788</v>
      </c>
      <c r="F14" s="7">
        <f>$B14 * IFERROR(VLOOKUP("electricity|SO2|Minor restricted activity days", US_national_yearly!$D:$AM, 14, FALSE) / VLOOKUP("electricity|SO2|Minor restricted activity days", US_national_yearly!$D:$AM, 10, FALSE), 1)</f>
        <v>8.7303543634949712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8.7617359797903394</v>
      </c>
      <c r="H14" s="7">
        <f>$B14 * IFERROR(VLOOKUP("electricity|SO2|Minor restricted activity days", US_national_yearly!$D:$AM, 16, FALSE) / VLOOKUP("electricity|SO2|Minor restricted activity days", US_national_yearly!$D:$AM, 10, FALSE), 1)</f>
        <v>8.7931175960857093</v>
      </c>
      <c r="I14" s="7">
        <f>$B14 * IFERROR(VLOOKUP("electricity|SO2|Minor restricted activity days", US_national_yearly!$D:$AM, 17, FALSE) / VLOOKUP("electricity|SO2|Minor restricted activity days", US_national_yearly!$D:$AM, 10, FALSE), 1)</f>
        <v>8.8469394841401154</v>
      </c>
      <c r="J14" s="7">
        <f>$B14 * IFERROR(VLOOKUP("electricity|SO2|Minor restricted activity days", US_national_yearly!$D:$AM, 18, FALSE) / VLOOKUP("electricity|SO2|Minor restricted activity days", US_national_yearly!$D:$AM, 10, FALSE), 1)</f>
        <v>8.9007613721945233</v>
      </c>
      <c r="K14" s="7">
        <f>$B14 * IFERROR(VLOOKUP("electricity|SO2|Minor restricted activity days", US_national_yearly!$D:$AM, 19, FALSE) / VLOOKUP("electricity|SO2|Minor restricted activity days", US_national_yearly!$D:$AM, 10, FALSE), 1)</f>
        <v>8.9545832602489295</v>
      </c>
      <c r="L14" s="7">
        <f>$B14 * IFERROR(VLOOKUP("electricity|SO2|Minor restricted activity days", US_national_yearly!$D:$AM, 20, FALSE) / VLOOKUP("electricity|SO2|Minor restricted activity days", US_national_yearly!$D:$AM, 10, FALSE), 1)</f>
        <v>9.0084051483033409</v>
      </c>
      <c r="M14" s="7">
        <f>$B14 * IFERROR(VLOOKUP("electricity|SO2|Minor restricted activity days", US_national_yearly!$D:$AM, 21, FALSE) / VLOOKUP("electricity|SO2|Minor restricted activity days", US_national_yearly!$D:$AM, 10, FALSE), 1)</f>
        <v>9.0622270363577471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9.1363475506428138</v>
      </c>
      <c r="O14" s="7">
        <f>$B14 * IFERROR(VLOOKUP("electricity|SO2|Minor restricted activity days", US_national_yearly!$D:$AM, 23, FALSE) / VLOOKUP("electricity|SO2|Minor restricted activity days", US_national_yearly!$D:$AM, 10, FALSE), 1)</f>
        <v>9.2104680649278787</v>
      </c>
      <c r="P14" s="7">
        <f>$B14 * IFERROR(VLOOKUP("electricity|SO2|Minor restricted activity days", US_national_yearly!$D:$AM, 24, FALSE) / VLOOKUP("electricity|SO2|Minor restricted activity days", US_national_yearly!$D:$AM, 10, FALSE), 1)</f>
        <v>9.2845885792129437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9.3587090934980104</v>
      </c>
      <c r="R14" s="7">
        <f>$B14 * IFERROR(VLOOKUP("electricity|SO2|Minor restricted activity days", US_national_yearly!$D:$AM, 26, FALSE) / VLOOKUP("electricity|SO2|Minor restricted activity days", US_national_yearly!$D:$AM, 10, FALSE), 1)</f>
        <v>9.4328296077830753</v>
      </c>
      <c r="S14" s="7">
        <f>$B14 * IFERROR(VLOOKUP("electricity|SO2|Minor restricted activity days", US_national_yearly!$D:$AM, 27, FALSE) / VLOOKUP("electricity|SO2|Minor restricted activity days", US_national_yearly!$D:$AM, 10, FALSE), 1)</f>
        <v>9.5088148206619394</v>
      </c>
      <c r="T14" s="7">
        <f>$B14 * IFERROR(VLOOKUP("electricity|SO2|Minor restricted activity days", US_national_yearly!$D:$AM, 28, FALSE) / VLOOKUP("electricity|SO2|Minor restricted activity days", US_national_yearly!$D:$AM, 10, FALSE), 1)</f>
        <v>9.5848000335408035</v>
      </c>
      <c r="U14" s="7">
        <f>$B14 * IFERROR(VLOOKUP("electricity|SO2|Minor restricted activity days", US_national_yearly!$D:$AM, 29, FALSE) / VLOOKUP("electricity|SO2|Minor restricted activity days", US_national_yearly!$D:$AM, 10, FALSE), 1)</f>
        <v>9.660785246419664</v>
      </c>
      <c r="V14" s="7">
        <f>$B14 * IFERROR(VLOOKUP("electricity|SO2|Minor restricted activity days", US_national_yearly!$D:$AM, 30, FALSE) / VLOOKUP("electricity|SO2|Minor restricted activity days", US_national_yearly!$D:$AM, 10, FALSE), 1)</f>
        <v>9.736770459298528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9.8127556721773921</v>
      </c>
      <c r="X14" s="7">
        <f>$B14 * IFERROR(VLOOKUP("electricity|SO2|Minor restricted activity days", US_national_yearly!$D:$AM, 32, FALSE) / VLOOKUP("electricity|SO2|Minor restricted activity days", US_national_yearly!$D:$AM, 10, FALSE), 1)</f>
        <v>9.8796143317259197</v>
      </c>
      <c r="Y14" s="7">
        <f>$B14 * IFERROR(VLOOKUP("electricity|SO2|Minor restricted activity days", US_national_yearly!$D:$AM, 33, FALSE) / VLOOKUP("electricity|SO2|Minor restricted activity days", US_national_yearly!$D:$AM, 10, FALSE), 1)</f>
        <v>9.9464729912744438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10.01333165082297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10.080190310371497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10.147048969920021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1.4429256977137521</v>
      </c>
      <c r="C15" s="7">
        <f>$B15 * IFERROR(VLOOKUP("electricity|SO2|Work loss days", US_national_yearly!$D:$AM, 11, FALSE) / VLOOKUP("electricity|SO2|Work loss days", US_national_yearly!$D:$AM, 10, FALSE), 1)</f>
        <v>1.4475979347615993</v>
      </c>
      <c r="D15" s="7">
        <f>$B15 * IFERROR(VLOOKUP("electricity|SO2|Work loss days", US_national_yearly!$D:$AM, 12, FALSE) / VLOOKUP("electricity|SO2|Work loss days", US_national_yearly!$D:$AM, 10, FALSE), 1)</f>
        <v>1.4522701718094466</v>
      </c>
      <c r="E15" s="7">
        <f>$B15 * IFERROR(VLOOKUP("electricity|SO2|Work loss days", US_national_yearly!$D:$AM, 13, FALSE) / VLOOKUP("electricity|SO2|Work loss days", US_national_yearly!$D:$AM, 10, FALSE), 1)</f>
        <v>1.4569424088572942</v>
      </c>
      <c r="F15" s="7">
        <f>$B15 * IFERROR(VLOOKUP("electricity|SO2|Work loss days", US_national_yearly!$D:$AM, 14, FALSE) / VLOOKUP("electricity|SO2|Work loss days", US_national_yearly!$D:$AM, 10, FALSE), 1)</f>
        <v>1.4616146459051413</v>
      </c>
      <c r="G15" s="7">
        <f>$B15 * IFERROR(VLOOKUP("electricity|SO2|Work loss days", US_national_yearly!$D:$AM, 15, FALSE) / VLOOKUP("electricity|SO2|Work loss days", US_national_yearly!$D:$AM, 10, FALSE), 1)</f>
        <v>1.4676000710736894</v>
      </c>
      <c r="H15" s="7">
        <f>$B15 * IFERROR(VLOOKUP("electricity|SO2|Work loss days", US_national_yearly!$D:$AM, 16, FALSE) / VLOOKUP("electricity|SO2|Work loss days", US_national_yearly!$D:$AM, 10, FALSE), 1)</f>
        <v>1.4735854962422374</v>
      </c>
      <c r="I15" s="7">
        <f>$B15 * IFERROR(VLOOKUP("electricity|SO2|Work loss days", US_national_yearly!$D:$AM, 17, FALSE) / VLOOKUP("electricity|SO2|Work loss days", US_national_yearly!$D:$AM, 10, FALSE), 1)</f>
        <v>1.4823428773237528</v>
      </c>
      <c r="J15" s="7">
        <f>$B15 * IFERROR(VLOOKUP("electricity|SO2|Work loss days", US_national_yearly!$D:$AM, 18, FALSE) / VLOOKUP("electricity|SO2|Work loss days", US_national_yearly!$D:$AM, 10, FALSE), 1)</f>
        <v>1.4911002584052675</v>
      </c>
      <c r="K15" s="7">
        <f>$B15 * IFERROR(VLOOKUP("electricity|SO2|Work loss days", US_national_yearly!$D:$AM, 19, FALSE) / VLOOKUP("electricity|SO2|Work loss days", US_national_yearly!$D:$AM, 10, FALSE), 1)</f>
        <v>1.4998576394867831</v>
      </c>
      <c r="L15" s="7">
        <f>$B15 * IFERROR(VLOOKUP("electricity|SO2|Work loss days", US_national_yearly!$D:$AM, 20, FALSE) / VLOOKUP("electricity|SO2|Work loss days", US_national_yearly!$D:$AM, 10, FALSE), 1)</f>
        <v>1.508615020568298</v>
      </c>
      <c r="M15" s="7">
        <f>$B15 * IFERROR(VLOOKUP("electricity|SO2|Work loss days", US_national_yearly!$D:$AM, 21, FALSE) / VLOOKUP("electricity|SO2|Work loss days", US_national_yearly!$D:$AM, 10, FALSE), 1)</f>
        <v>1.5173724016498136</v>
      </c>
      <c r="N15" s="7">
        <f>$B15 * IFERROR(VLOOKUP("electricity|SO2|Work loss days", US_national_yearly!$D:$AM, 22, FALSE) / VLOOKUP("electricity|SO2|Work loss days", US_national_yearly!$D:$AM, 10, FALSE), 1)</f>
        <v>1.5284526666281713</v>
      </c>
      <c r="O15" s="7">
        <f>$B15 * IFERROR(VLOOKUP("electricity|SO2|Work loss days", US_national_yearly!$D:$AM, 23, FALSE) / VLOOKUP("electricity|SO2|Work loss days", US_national_yearly!$D:$AM, 10, FALSE), 1)</f>
        <v>1.5395329316065289</v>
      </c>
      <c r="P15" s="7">
        <f>$B15 * IFERROR(VLOOKUP("electricity|SO2|Work loss days", US_national_yearly!$D:$AM, 24, FALSE) / VLOOKUP("electricity|SO2|Work loss days", US_national_yearly!$D:$AM, 10, FALSE), 1)</f>
        <v>1.5506131965848868</v>
      </c>
      <c r="Q15" s="7">
        <f>$B15 * IFERROR(VLOOKUP("electricity|SO2|Work loss days", US_national_yearly!$D:$AM, 25, FALSE) / VLOOKUP("electricity|SO2|Work loss days", US_national_yearly!$D:$AM, 10, FALSE), 1)</f>
        <v>1.5616934615632445</v>
      </c>
      <c r="R15" s="7">
        <f>$B15 * IFERROR(VLOOKUP("electricity|SO2|Work loss days", US_national_yearly!$D:$AM, 26, FALSE) / VLOOKUP("electricity|SO2|Work loss days", US_national_yearly!$D:$AM, 10, FALSE), 1)</f>
        <v>1.5727737265416024</v>
      </c>
      <c r="S15" s="7">
        <f>$B15 * IFERROR(VLOOKUP("electricity|SO2|Work loss days", US_national_yearly!$D:$AM, 27, FALSE) / VLOOKUP("electricity|SO2|Work loss days", US_national_yearly!$D:$AM, 10, FALSE), 1)</f>
        <v>1.5851957375601298</v>
      </c>
      <c r="T15" s="7">
        <f>$B15 * IFERROR(VLOOKUP("electricity|SO2|Work loss days", US_national_yearly!$D:$AM, 28, FALSE) / VLOOKUP("electricity|SO2|Work loss days", US_national_yearly!$D:$AM, 10, FALSE), 1)</f>
        <v>1.5976177485786576</v>
      </c>
      <c r="U15" s="7">
        <f>$B15 * IFERROR(VLOOKUP("electricity|SO2|Work loss days", US_national_yearly!$D:$AM, 29, FALSE) / VLOOKUP("electricity|SO2|Work loss days", US_national_yearly!$D:$AM, 10, FALSE), 1)</f>
        <v>1.6100397595971851</v>
      </c>
      <c r="V15" s="7">
        <f>$B15 * IFERROR(VLOOKUP("electricity|SO2|Work loss days", US_national_yearly!$D:$AM, 30, FALSE) / VLOOKUP("electricity|SO2|Work loss days", US_national_yearly!$D:$AM, 10, FALSE), 1)</f>
        <v>1.622461770615713</v>
      </c>
      <c r="W15" s="7">
        <f>$B15 * IFERROR(VLOOKUP("electricity|SO2|Work loss days", US_national_yearly!$D:$AM, 31, FALSE) / VLOOKUP("electricity|SO2|Work loss days", US_national_yearly!$D:$AM, 10, FALSE), 1)</f>
        <v>1.6348837816342405</v>
      </c>
      <c r="X15" s="7">
        <f>$B15 * IFERROR(VLOOKUP("electricity|SO2|Work loss days", US_national_yearly!$D:$AM, 32, FALSE) / VLOOKUP("electricity|SO2|Work loss days", US_national_yearly!$D:$AM, 10, FALSE), 1)</f>
        <v>1.6460747849520814</v>
      </c>
      <c r="Y15" s="7">
        <f>$B15 * IFERROR(VLOOKUP("electricity|SO2|Work loss days", US_national_yearly!$D:$AM, 33, FALSE) / VLOOKUP("electricity|SO2|Work loss days", US_national_yearly!$D:$AM, 10, FALSE), 1)</f>
        <v>1.6572657882699222</v>
      </c>
      <c r="Z15" s="7">
        <f>$B15 * IFERROR(VLOOKUP("electricity|SO2|Work loss days", US_national_yearly!$D:$AM, 34, FALSE) / VLOOKUP("electricity|SO2|Work loss days", US_national_yearly!$D:$AM, 10, FALSE), 1)</f>
        <v>1.6684567915877628</v>
      </c>
      <c r="AA15" s="7">
        <f>$B15 * IFERROR(VLOOKUP("electricity|SO2|Work loss days", US_national_yearly!$D:$AM, 35, FALSE) / VLOOKUP("electricity|SO2|Work loss days", US_national_yearly!$D:$AM, 10, FALSE), 1)</f>
        <v>1.6796477949056037</v>
      </c>
      <c r="AB15" s="7">
        <f>$B15 * IFERROR(VLOOKUP("electricity|SO2|Work loss days", US_national_yearly!$D:$AM, 36, FALSE) / VLOOKUP("electricity|SO2|Work loss days", US_national_yearly!$D:$AM, 10, FALSE), 1)</f>
        <v>1.6908387982234445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3.2220911798426467E-3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3.3197294994318422E-3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3.4173678190210373E-3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3.5150061386102337E-3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3.6126444581994288E-3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3.7067615766183805E-3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3.800878695037333E-3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3.8823596999600068E-3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3.9638407048826806E-3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4.0453217098053553E-3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4.1268027147280282E-3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4.208283719650702E-3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4.2638942882725862E-3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4.3195048568944686E-3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4.3751154255163537E-3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4.430725994138237E-3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4.4863365627601202E-3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4.5168232952290934E-3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4.5473100276980658E-3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4.577796760167039E-3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4.6082834926360113E-3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4.6387702251049828E-3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4.6598148452307022E-3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4.6808594653564191E-3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4.7019040854821377E-3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4.7229487056078554E-3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4.7439933257335731E-3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1.0985948236565754E-2</v>
      </c>
      <c r="C2" s="7">
        <f>$B2 * IFERROR(VLOOKUP("buildings|PM25|Premature mortality", US_national_yearly!$D:$AM, 11, FALSE) / VLOOKUP("buildings|PM25|Premature mortality", US_national_yearly!$D:$AM, 10, FALSE), 1)</f>
        <v>1.112224857188056E-2</v>
      </c>
      <c r="D2" s="7">
        <f>$B2 * IFERROR(VLOOKUP("buildings|PM25|Premature mortality", US_national_yearly!$D:$AM, 12, FALSE) / VLOOKUP("buildings|PM25|Premature mortality", US_national_yearly!$D:$AM, 10, FALSE), 1)</f>
        <v>1.1258548907195366E-2</v>
      </c>
      <c r="E2" s="7">
        <f>$B2 * IFERROR(VLOOKUP("buildings|PM25|Premature mortality", US_national_yearly!$D:$AM, 13, FALSE) / VLOOKUP("buildings|PM25|Premature mortality", US_national_yearly!$D:$AM, 10, FALSE), 1)</f>
        <v>1.139484924251017E-2</v>
      </c>
      <c r="F2" s="7">
        <f>$B2 * IFERROR(VLOOKUP("buildings|PM25|Premature mortality", US_national_yearly!$D:$AM, 14, FALSE) / VLOOKUP("buildings|PM25|Premature mortality", US_national_yearly!$D:$AM, 10, FALSE), 1)</f>
        <v>1.1531149577824976E-2</v>
      </c>
      <c r="G2" s="7">
        <f>$B2 * IFERROR(VLOOKUP("buildings|PM25|Premature mortality", US_national_yearly!$D:$AM, 15, FALSE) / VLOOKUP("buildings|PM25|Premature mortality", US_national_yearly!$D:$AM, 10, FALSE), 1)</f>
        <v>1.1796554281939447E-2</v>
      </c>
      <c r="H2" s="7">
        <f>$B2 * IFERROR(VLOOKUP("buildings|PM25|Premature mortality", US_national_yearly!$D:$AM, 16, FALSE) / VLOOKUP("buildings|PM25|Premature mortality", US_national_yearly!$D:$AM, 10, FALSE), 1)</f>
        <v>1.2061958986053917E-2</v>
      </c>
      <c r="I2" s="7">
        <f>$B2 * IFERROR(VLOOKUP("buildings|PM25|Premature mortality", US_national_yearly!$D:$AM, 17, FALSE) / VLOOKUP("buildings|PM25|Premature mortality", US_national_yearly!$D:$AM, 10, FALSE), 1)</f>
        <v>1.2236511088609948E-2</v>
      </c>
      <c r="J2" s="7">
        <f>$B2 * IFERROR(VLOOKUP("buildings|PM25|Premature mortality", US_national_yearly!$D:$AM, 18, FALSE) / VLOOKUP("buildings|PM25|Premature mortality", US_national_yearly!$D:$AM, 10, FALSE), 1)</f>
        <v>1.2411063191165981E-2</v>
      </c>
      <c r="K2" s="7">
        <f>$B2 * IFERROR(VLOOKUP("buildings|PM25|Premature mortality", US_national_yearly!$D:$AM, 19, FALSE) / VLOOKUP("buildings|PM25|Premature mortality", US_national_yearly!$D:$AM, 10, FALSE), 1)</f>
        <v>1.2585615293722012E-2</v>
      </c>
      <c r="L2" s="7">
        <f>$B2 * IFERROR(VLOOKUP("buildings|PM25|Premature mortality", US_national_yearly!$D:$AM, 20, FALSE) / VLOOKUP("buildings|PM25|Premature mortality", US_national_yearly!$D:$AM, 10, FALSE), 1)</f>
        <v>1.2760167396278043E-2</v>
      </c>
      <c r="M2" s="7">
        <f>$B2 * IFERROR(VLOOKUP("buildings|PM25|Premature mortality", US_national_yearly!$D:$AM, 21, FALSE) / VLOOKUP("buildings|PM25|Premature mortality", US_national_yearly!$D:$AM, 10, FALSE), 1)</f>
        <v>1.2934719498834074E-2</v>
      </c>
      <c r="N2" s="7">
        <f>$B2 * IFERROR(VLOOKUP("buildings|PM25|Premature mortality", US_national_yearly!$D:$AM, 22, FALSE) / VLOOKUP("buildings|PM25|Premature mortality", US_national_yearly!$D:$AM, 10, FALSE), 1)</f>
        <v>1.3070453158608386E-2</v>
      </c>
      <c r="O2" s="7">
        <f>$B2 * IFERROR(VLOOKUP("buildings|PM25|Premature mortality", US_national_yearly!$D:$AM, 23, FALSE) / VLOOKUP("buildings|PM25|Premature mortality", US_national_yearly!$D:$AM, 10, FALSE), 1)</f>
        <v>1.3206186818382702E-2</v>
      </c>
      <c r="P2" s="7">
        <f>$B2 * IFERROR(VLOOKUP("buildings|PM25|Premature mortality", US_national_yearly!$D:$AM, 24, FALSE) / VLOOKUP("buildings|PM25|Premature mortality", US_national_yearly!$D:$AM, 10, FALSE), 1)</f>
        <v>1.3341920478157014E-2</v>
      </c>
      <c r="Q2" s="7">
        <f>$B2 * IFERROR(VLOOKUP("buildings|PM25|Premature mortality", US_national_yearly!$D:$AM, 25, FALSE) / VLOOKUP("buildings|PM25|Premature mortality", US_national_yearly!$D:$AM, 10, FALSE), 1)</f>
        <v>1.3477654137931332E-2</v>
      </c>
      <c r="R2" s="7">
        <f>$B2 * IFERROR(VLOOKUP("buildings|PM25|Premature mortality", US_national_yearly!$D:$AM, 26, FALSE) / VLOOKUP("buildings|PM25|Premature mortality", US_national_yearly!$D:$AM, 10, FALSE), 1)</f>
        <v>1.3613387797705644E-2</v>
      </c>
      <c r="S2" s="7">
        <f>$B2 * IFERROR(VLOOKUP("buildings|PM25|Premature mortality", US_national_yearly!$D:$AM, 27, FALSE) / VLOOKUP("buildings|PM25|Premature mortality", US_national_yearly!$D:$AM, 10, FALSE), 1)</f>
        <v>1.3685531586101541E-2</v>
      </c>
      <c r="T2" s="7">
        <f>$B2 * IFERROR(VLOOKUP("buildings|PM25|Premature mortality", US_national_yearly!$D:$AM, 28, FALSE) / VLOOKUP("buildings|PM25|Premature mortality", US_national_yearly!$D:$AM, 10, FALSE), 1)</f>
        <v>1.3757675374497442E-2</v>
      </c>
      <c r="U2" s="7">
        <f>$B2 * IFERROR(VLOOKUP("buildings|PM25|Premature mortality", US_national_yearly!$D:$AM, 29, FALSE) / VLOOKUP("buildings|PM25|Premature mortality", US_national_yearly!$D:$AM, 10, FALSE), 1)</f>
        <v>1.3829819162893341E-2</v>
      </c>
      <c r="V2" s="7">
        <f>$B2 * IFERROR(VLOOKUP("buildings|PM25|Premature mortality", US_national_yearly!$D:$AM, 30, FALSE) / VLOOKUP("buildings|PM25|Premature mortality", US_national_yearly!$D:$AM, 10, FALSE), 1)</f>
        <v>1.3901962951289242E-2</v>
      </c>
      <c r="W2" s="7">
        <f>$B2 * IFERROR(VLOOKUP("buildings|PM25|Premature mortality", US_national_yearly!$D:$AM, 31, FALSE) / VLOOKUP("buildings|PM25|Premature mortality", US_national_yearly!$D:$AM, 10, FALSE), 1)</f>
        <v>1.397410673968514E-2</v>
      </c>
      <c r="X2" s="7">
        <f>$B2 * IFERROR(VLOOKUP("buildings|PM25|Premature mortality", US_national_yearly!$D:$AM, 32, FALSE) / VLOOKUP("buildings|PM25|Premature mortality", US_national_yearly!$D:$AM, 10, FALSE), 1)</f>
        <v>1.3987055970519946E-2</v>
      </c>
      <c r="Y2" s="7">
        <f>$B2 * IFERROR(VLOOKUP("buildings|PM25|Premature mortality", US_national_yearly!$D:$AM, 33, FALSE) / VLOOKUP("buildings|PM25|Premature mortality", US_national_yearly!$D:$AM, 10, FALSE), 1)</f>
        <v>1.4000005201354748E-2</v>
      </c>
      <c r="Z2" s="7">
        <f>$B2 * IFERROR(VLOOKUP("buildings|PM25|Premature mortality", US_national_yearly!$D:$AM, 34, FALSE) / VLOOKUP("buildings|PM25|Premature mortality", US_national_yearly!$D:$AM, 10, FALSE), 1)</f>
        <v>1.4012954432189554E-2</v>
      </c>
      <c r="AA2" s="7">
        <f>$B2 * IFERROR(VLOOKUP("buildings|PM25|Premature mortality", US_national_yearly!$D:$AM, 35, FALSE) / VLOOKUP("buildings|PM25|Premature mortality", US_national_yearly!$D:$AM, 10, FALSE), 1)</f>
        <v>1.4025903663024359E-2</v>
      </c>
      <c r="AB2" s="7">
        <f>$B2 * IFERROR(VLOOKUP("buildings|PM25|Premature mortality", US_national_yearly!$D:$AM, 36, FALSE) / VLOOKUP("buildings|PM25|Premature mortality", US_national_yearly!$D:$AM, 10, FALSE), 1)</f>
        <v>1.4038852893859161E-2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1.4735831841647786E-5</v>
      </c>
      <c r="C3" s="7">
        <f>$B3 * IFERROR(VLOOKUP("buildings|PM25|Infant mortality", US_national_yearly!$D:$AM, 11, FALSE) / VLOOKUP("buildings|PM25|Infant mortality", US_national_yearly!$D:$AM, 10, FALSE), 1)</f>
        <v>1.4608195700454622E-5</v>
      </c>
      <c r="D3" s="7">
        <f>$B3 * IFERROR(VLOOKUP("buildings|PM25|Infant mortality", US_national_yearly!$D:$AM, 12, FALSE) / VLOOKUP("buildings|PM25|Infant mortality", US_national_yearly!$D:$AM, 10, FALSE), 1)</f>
        <v>1.4480559559261456E-5</v>
      </c>
      <c r="E3" s="7">
        <f>$B3 * IFERROR(VLOOKUP("buildings|PM25|Infant mortality", US_national_yearly!$D:$AM, 13, FALSE) / VLOOKUP("buildings|PM25|Infant mortality", US_national_yearly!$D:$AM, 10, FALSE), 1)</f>
        <v>1.4352923418068292E-5</v>
      </c>
      <c r="F3" s="7">
        <f>$B3 * IFERROR(VLOOKUP("buildings|PM25|Infant mortality", US_national_yearly!$D:$AM, 14, FALSE) / VLOOKUP("buildings|PM25|Infant mortality", US_national_yearly!$D:$AM, 10, FALSE), 1)</f>
        <v>1.4225287276875128E-5</v>
      </c>
      <c r="G3" s="7">
        <f>$B3 * IFERROR(VLOOKUP("buildings|PM25|Infant mortality", US_national_yearly!$D:$AM, 15, FALSE) / VLOOKUP("buildings|PM25|Infant mortality", US_national_yearly!$D:$AM, 10, FALSE), 1)</f>
        <v>9.459299957432257E-6</v>
      </c>
      <c r="H3" s="7">
        <f>$B3 * IFERROR(VLOOKUP("buildings|PM25|Infant mortality", US_national_yearly!$D:$AM, 16, FALSE) / VLOOKUP("buildings|PM25|Infant mortality", US_national_yearly!$D:$AM, 10, FALSE), 1)</f>
        <v>4.6933126379893874E-6</v>
      </c>
      <c r="I3" s="7">
        <f>$B3 * IFERROR(VLOOKUP("buildings|PM25|Infant mortality", US_national_yearly!$D:$AM, 17, FALSE) / VLOOKUP("buildings|PM25|Infant mortality", US_national_yearly!$D:$AM, 10, FALSE), 1)</f>
        <v>4.6627291090879177E-6</v>
      </c>
      <c r="J3" s="7">
        <f>$B3 * IFERROR(VLOOKUP("buildings|PM25|Infant mortality", US_national_yearly!$D:$AM, 18, FALSE) / VLOOKUP("buildings|PM25|Infant mortality", US_national_yearly!$D:$AM, 10, FALSE), 1)</f>
        <v>4.6321455801864479E-6</v>
      </c>
      <c r="K3" s="7">
        <f>$B3 * IFERROR(VLOOKUP("buildings|PM25|Infant mortality", US_national_yearly!$D:$AM, 19, FALSE) / VLOOKUP("buildings|PM25|Infant mortality", US_national_yearly!$D:$AM, 10, FALSE), 1)</f>
        <v>4.6015620512849781E-6</v>
      </c>
      <c r="L3" s="7">
        <f>$B3 * IFERROR(VLOOKUP("buildings|PM25|Infant mortality", US_national_yearly!$D:$AM, 20, FALSE) / VLOOKUP("buildings|PM25|Infant mortality", US_national_yearly!$D:$AM, 10, FALSE), 1)</f>
        <v>4.5709785223835083E-6</v>
      </c>
      <c r="M3" s="7">
        <f>$B3 * IFERROR(VLOOKUP("buildings|PM25|Infant mortality", US_national_yearly!$D:$AM, 21, FALSE) / VLOOKUP("buildings|PM25|Infant mortality", US_national_yearly!$D:$AM, 10, FALSE), 1)</f>
        <v>4.5403949934820394E-6</v>
      </c>
      <c r="N3" s="7">
        <f>$B3 * IFERROR(VLOOKUP("buildings|PM25|Infant mortality", US_national_yearly!$D:$AM, 22, FALSE) / VLOOKUP("buildings|PM25|Infant mortality", US_national_yearly!$D:$AM, 10, FALSE), 1)</f>
        <v>4.5212590107015216E-6</v>
      </c>
      <c r="O3" s="7">
        <f>$B3 * IFERROR(VLOOKUP("buildings|PM25|Infant mortality", US_national_yearly!$D:$AM, 23, FALSE) / VLOOKUP("buildings|PM25|Infant mortality", US_national_yearly!$D:$AM, 10, FALSE), 1)</f>
        <v>4.5021230279210046E-6</v>
      </c>
      <c r="P3" s="7">
        <f>$B3 * IFERROR(VLOOKUP("buildings|PM25|Infant mortality", US_national_yearly!$D:$AM, 24, FALSE) / VLOOKUP("buildings|PM25|Infant mortality", US_national_yearly!$D:$AM, 10, FALSE), 1)</f>
        <v>4.4829870451404876E-6</v>
      </c>
      <c r="Q3" s="7">
        <f>$B3 * IFERROR(VLOOKUP("buildings|PM25|Infant mortality", US_national_yearly!$D:$AM, 25, FALSE) / VLOOKUP("buildings|PM25|Infant mortality", US_national_yearly!$D:$AM, 10, FALSE), 1)</f>
        <v>4.4638510623599698E-6</v>
      </c>
      <c r="R3" s="7">
        <f>$B3 * IFERROR(VLOOKUP("buildings|PM25|Infant mortality", US_national_yearly!$D:$AM, 26, FALSE) / VLOOKUP("buildings|PM25|Infant mortality", US_national_yearly!$D:$AM, 10, FALSE), 1)</f>
        <v>4.4447150795794529E-6</v>
      </c>
      <c r="S3" s="7">
        <f>$B3 * IFERROR(VLOOKUP("buildings|PM25|Infant mortality", US_national_yearly!$D:$AM, 27, FALSE) / VLOOKUP("buildings|PM25|Infant mortality", US_national_yearly!$D:$AM, 10, FALSE), 1)</f>
        <v>4.4208224892383947E-6</v>
      </c>
      <c r="T3" s="7">
        <f>$B3 * IFERROR(VLOOKUP("buildings|PM25|Infant mortality", US_national_yearly!$D:$AM, 28, FALSE) / VLOOKUP("buildings|PM25|Infant mortality", US_national_yearly!$D:$AM, 10, FALSE), 1)</f>
        <v>4.3969298988973374E-6</v>
      </c>
      <c r="U3" s="7">
        <f>$B3 * IFERROR(VLOOKUP("buildings|PM25|Infant mortality", US_national_yearly!$D:$AM, 29, FALSE) / VLOOKUP("buildings|PM25|Infant mortality", US_national_yearly!$D:$AM, 10, FALSE), 1)</f>
        <v>4.3730373085562793E-6</v>
      </c>
      <c r="V3" s="7">
        <f>$B3 * IFERROR(VLOOKUP("buildings|PM25|Infant mortality", US_national_yearly!$D:$AM, 30, FALSE) / VLOOKUP("buildings|PM25|Infant mortality", US_national_yearly!$D:$AM, 10, FALSE), 1)</f>
        <v>4.349144718215222E-6</v>
      </c>
      <c r="W3" s="7">
        <f>$B3 * IFERROR(VLOOKUP("buildings|PM25|Infant mortality", US_national_yearly!$D:$AM, 31, FALSE) / VLOOKUP("buildings|PM25|Infant mortality", US_national_yearly!$D:$AM, 10, FALSE), 1)</f>
        <v>4.3252521278741638E-6</v>
      </c>
      <c r="X3" s="7">
        <f>$B3 * IFERROR(VLOOKUP("buildings|PM25|Infant mortality", US_national_yearly!$D:$AM, 32, FALSE) / VLOOKUP("buildings|PM25|Infant mortality", US_national_yearly!$D:$AM, 10, FALSE), 1)</f>
        <v>4.2995286781094258E-6</v>
      </c>
      <c r="Y3" s="7">
        <f>$B3 * IFERROR(VLOOKUP("buildings|PM25|Infant mortality", US_national_yearly!$D:$AM, 33, FALSE) / VLOOKUP("buildings|PM25|Infant mortality", US_national_yearly!$D:$AM, 10, FALSE), 1)</f>
        <v>4.2738052283446886E-6</v>
      </c>
      <c r="Z3" s="7">
        <f>$B3 * IFERROR(VLOOKUP("buildings|PM25|Infant mortality", US_national_yearly!$D:$AM, 34, FALSE) / VLOOKUP("buildings|PM25|Infant mortality", US_national_yearly!$D:$AM, 10, FALSE), 1)</f>
        <v>4.2480817785799505E-6</v>
      </c>
      <c r="AA3" s="7">
        <f>$B3 * IFERROR(VLOOKUP("buildings|PM25|Infant mortality", US_national_yearly!$D:$AM, 35, FALSE) / VLOOKUP("buildings|PM25|Infant mortality", US_national_yearly!$D:$AM, 10, FALSE), 1)</f>
        <v>4.2223583288152125E-6</v>
      </c>
      <c r="AB3" s="7">
        <f>$B3 * IFERROR(VLOOKUP("buildings|PM25|Infant mortality", US_national_yearly!$D:$AM, 36, FALSE) / VLOOKUP("buildings|PM25|Infant mortality", US_national_yearly!$D:$AM, 10, FALSE), 1)</f>
        <v>4.1966348790504753E-6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2.2042894084338311E-2</v>
      </c>
      <c r="C6" s="7">
        <f>$B6 * IFERROR(VLOOKUP("buildings|PM25|Asthma symptoms cough", US_national_yearly!$D:$AM, 11, FALSE) / VLOOKUP("buildings|PM25|Asthma symptoms cough", US_national_yearly!$D:$AM, 10, FALSE), 1)</f>
        <v>2.2042894084338311E-2</v>
      </c>
      <c r="D6" s="7">
        <f>$B6 * IFERROR(VLOOKUP("buildings|PM25|Asthma symptoms cough", US_national_yearly!$D:$AM, 12, FALSE) / VLOOKUP("buildings|PM25|Asthma symptoms cough", US_national_yearly!$D:$AM, 10, FALSE), 1)</f>
        <v>2.2042894084338311E-2</v>
      </c>
      <c r="E6" s="7">
        <f>$B6 * IFERROR(VLOOKUP("buildings|PM25|Asthma symptoms cough", US_national_yearly!$D:$AM, 13, FALSE) / VLOOKUP("buildings|PM25|Asthma symptoms cough", US_national_yearly!$D:$AM, 10, FALSE), 1)</f>
        <v>2.2042894084338311E-2</v>
      </c>
      <c r="F6" s="7">
        <f>$B6 * IFERROR(VLOOKUP("buildings|PM25|Asthma symptoms cough", US_national_yearly!$D:$AM, 14, FALSE) / VLOOKUP("buildings|PM25|Asthma symptoms cough", US_national_yearly!$D:$AM, 10, FALSE), 1)</f>
        <v>2.2042894084338311E-2</v>
      </c>
      <c r="G6" s="7">
        <f>$B6 * IFERROR(VLOOKUP("buildings|PM25|Asthma symptoms cough", US_national_yearly!$D:$AM, 15, FALSE) / VLOOKUP("buildings|PM25|Asthma symptoms cough", US_national_yearly!$D:$AM, 10, FALSE), 1)</f>
        <v>2.2042894084338311E-2</v>
      </c>
      <c r="H6" s="7">
        <f>$B6 * IFERROR(VLOOKUP("buildings|PM25|Asthma symptoms cough", US_national_yearly!$D:$AM, 16, FALSE) / VLOOKUP("buildings|PM25|Asthma symptoms cough", US_national_yearly!$D:$AM, 10, FALSE), 1)</f>
        <v>2.2042894084338311E-2</v>
      </c>
      <c r="I6" s="7">
        <f>$B6 * IFERROR(VLOOKUP("buildings|PM25|Asthma symptoms cough", US_national_yearly!$D:$AM, 17, FALSE) / VLOOKUP("buildings|PM25|Asthma symptoms cough", US_national_yearly!$D:$AM, 10, FALSE), 1)</f>
        <v>2.2042894084338311E-2</v>
      </c>
      <c r="J6" s="7">
        <f>$B6 * IFERROR(VLOOKUP("buildings|PM25|Asthma symptoms cough", US_national_yearly!$D:$AM, 18, FALSE) / VLOOKUP("buildings|PM25|Asthma symptoms cough", US_national_yearly!$D:$AM, 10, FALSE), 1)</f>
        <v>2.2042894084338311E-2</v>
      </c>
      <c r="K6" s="7">
        <f>$B6 * IFERROR(VLOOKUP("buildings|PM25|Asthma symptoms cough", US_national_yearly!$D:$AM, 19, FALSE) / VLOOKUP("buildings|PM25|Asthma symptoms cough", US_national_yearly!$D:$AM, 10, FALSE), 1)</f>
        <v>2.2042894084338311E-2</v>
      </c>
      <c r="L6" s="7">
        <f>$B6 * IFERROR(VLOOKUP("buildings|PM25|Asthma symptoms cough", US_national_yearly!$D:$AM, 20, FALSE) / VLOOKUP("buildings|PM25|Asthma symptoms cough", US_national_yearly!$D:$AM, 10, FALSE), 1)</f>
        <v>2.2042894084338311E-2</v>
      </c>
      <c r="M6" s="7">
        <f>$B6 * IFERROR(VLOOKUP("buildings|PM25|Asthma symptoms cough", US_national_yearly!$D:$AM, 21, FALSE) / VLOOKUP("buildings|PM25|Asthma symptoms cough", US_national_yearly!$D:$AM, 10, FALSE), 1)</f>
        <v>2.2042894084338311E-2</v>
      </c>
      <c r="N6" s="7">
        <f>$B6 * IFERROR(VLOOKUP("buildings|PM25|Asthma symptoms cough", US_national_yearly!$D:$AM, 22, FALSE) / VLOOKUP("buildings|PM25|Asthma symptoms cough", US_national_yearly!$D:$AM, 10, FALSE), 1)</f>
        <v>2.2042894084338311E-2</v>
      </c>
      <c r="O6" s="7">
        <f>$B6 * IFERROR(VLOOKUP("buildings|PM25|Asthma symptoms cough", US_national_yearly!$D:$AM, 23, FALSE) / VLOOKUP("buildings|PM25|Asthma symptoms cough", US_national_yearly!$D:$AM, 10, FALSE), 1)</f>
        <v>2.2042894084338311E-2</v>
      </c>
      <c r="P6" s="7">
        <f>$B6 * IFERROR(VLOOKUP("buildings|PM25|Asthma symptoms cough", US_national_yearly!$D:$AM, 24, FALSE) / VLOOKUP("buildings|PM25|Asthma symptoms cough", US_national_yearly!$D:$AM, 10, FALSE), 1)</f>
        <v>2.2042894084338311E-2</v>
      </c>
      <c r="Q6" s="7">
        <f>$B6 * IFERROR(VLOOKUP("buildings|PM25|Asthma symptoms cough", US_national_yearly!$D:$AM, 25, FALSE) / VLOOKUP("buildings|PM25|Asthma symptoms cough", US_national_yearly!$D:$AM, 10, FALSE), 1)</f>
        <v>2.2042894084338311E-2</v>
      </c>
      <c r="R6" s="7">
        <f>$B6 * IFERROR(VLOOKUP("buildings|PM25|Asthma symptoms cough", US_national_yearly!$D:$AM, 26, FALSE) / VLOOKUP("buildings|PM25|Asthma symptoms cough", US_national_yearly!$D:$AM, 10, FALSE), 1)</f>
        <v>2.2042894084338311E-2</v>
      </c>
      <c r="S6" s="7">
        <f>$B6 * IFERROR(VLOOKUP("buildings|PM25|Asthma symptoms cough", US_national_yearly!$D:$AM, 27, FALSE) / VLOOKUP("buildings|PM25|Asthma symptoms cough", US_national_yearly!$D:$AM, 10, FALSE), 1)</f>
        <v>2.2042894084338311E-2</v>
      </c>
      <c r="T6" s="7">
        <f>$B6 * IFERROR(VLOOKUP("buildings|PM25|Asthma symptoms cough", US_national_yearly!$D:$AM, 28, FALSE) / VLOOKUP("buildings|PM25|Asthma symptoms cough", US_national_yearly!$D:$AM, 10, FALSE), 1)</f>
        <v>2.2042894084338311E-2</v>
      </c>
      <c r="U6" s="7">
        <f>$B6 * IFERROR(VLOOKUP("buildings|PM25|Asthma symptoms cough", US_national_yearly!$D:$AM, 29, FALSE) / VLOOKUP("buildings|PM25|Asthma symptoms cough", US_national_yearly!$D:$AM, 10, FALSE), 1)</f>
        <v>2.2042894084338311E-2</v>
      </c>
      <c r="V6" s="7">
        <f>$B6 * IFERROR(VLOOKUP("buildings|PM25|Asthma symptoms cough", US_national_yearly!$D:$AM, 30, FALSE) / VLOOKUP("buildings|PM25|Asthma symptoms cough", US_national_yearly!$D:$AM, 10, FALSE), 1)</f>
        <v>2.2042894084338311E-2</v>
      </c>
      <c r="W6" s="7">
        <f>$B6 * IFERROR(VLOOKUP("buildings|PM25|Asthma symptoms cough", US_national_yearly!$D:$AM, 31, FALSE) / VLOOKUP("buildings|PM25|Asthma symptoms cough", US_national_yearly!$D:$AM, 10, FALSE), 1)</f>
        <v>2.2042894084338311E-2</v>
      </c>
      <c r="X6" s="7">
        <f>$B6 * IFERROR(VLOOKUP("buildings|PM25|Asthma symptoms cough", US_national_yearly!$D:$AM, 32, FALSE) / VLOOKUP("buildings|PM25|Asthma symptoms cough", US_national_yearly!$D:$AM, 10, FALSE), 1)</f>
        <v>2.2042894084338311E-2</v>
      </c>
      <c r="Y6" s="7">
        <f>$B6 * IFERROR(VLOOKUP("buildings|PM25|Asthma symptoms cough", US_national_yearly!$D:$AM, 33, FALSE) / VLOOKUP("buildings|PM25|Asthma symptoms cough", US_national_yearly!$D:$AM, 10, FALSE), 1)</f>
        <v>2.2042894084338311E-2</v>
      </c>
      <c r="Z6" s="7">
        <f>$B6 * IFERROR(VLOOKUP("buildings|PM25|Asthma symptoms cough", US_national_yearly!$D:$AM, 34, FALSE) / VLOOKUP("buildings|PM25|Asthma symptoms cough", US_national_yearly!$D:$AM, 10, FALSE), 1)</f>
        <v>2.2042894084338311E-2</v>
      </c>
      <c r="AA6" s="7">
        <f>$B6 * IFERROR(VLOOKUP("buildings|PM25|Asthma symptoms cough", US_national_yearly!$D:$AM, 35, FALSE) / VLOOKUP("buildings|PM25|Asthma symptoms cough", US_national_yearly!$D:$AM, 10, FALSE), 1)</f>
        <v>2.2042894084338311E-2</v>
      </c>
      <c r="AB6" s="7">
        <f>$B6 * IFERROR(VLOOKUP("buildings|PM25|Asthma symptoms cough", US_national_yearly!$D:$AM, 36, FALSE) / VLOOKUP("buildings|PM25|Asthma symptoms cough", US_national_yearly!$D:$AM, 10, FALSE), 1)</f>
        <v>2.2042894084338311E-2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2.9683928496706435E-2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2.9683928496706435E-2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2.9683928496706435E-2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2.9683928496706435E-2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2.9683928496706435E-2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2.9683928496706435E-2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2.9683928496706435E-2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2.9683928496706435E-2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2.9683928496706435E-2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2.9683928496706435E-2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2.9683928496706435E-2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2.9683928496706435E-2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2.9683928496706435E-2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2.9683928496706435E-2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2.9683928496706435E-2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2.9683928496706435E-2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2.9683928496706435E-2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2.9683928496706435E-2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2.9683928496706435E-2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2.9683928496706435E-2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2.9683928496706435E-2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2.9683928496706435E-2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2.9683928496706435E-2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2.9683928496706435E-2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2.9683928496706435E-2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2.9683928496706435E-2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2.9683928496706435E-2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4.5352108039718321E-2</v>
      </c>
      <c r="C8" s="7">
        <f>$B8 * IFERROR(VLOOKUP("buildings|PM25|Asthma symptoms wheeze", US_national_yearly!$D:$AM, 11, FALSE) / VLOOKUP("buildings|PM25|Asthma symptoms wheeze", US_national_yearly!$D:$AM, 10, FALSE), 1)</f>
        <v>4.5352108039718321E-2</v>
      </c>
      <c r="D8" s="7">
        <f>$B8 * IFERROR(VLOOKUP("buildings|PM25|Asthma symptoms wheeze", US_national_yearly!$D:$AM, 12, FALSE) / VLOOKUP("buildings|PM25|Asthma symptoms wheeze", US_national_yearly!$D:$AM, 10, FALSE), 1)</f>
        <v>4.5352108039718321E-2</v>
      </c>
      <c r="E8" s="7">
        <f>$B8 * IFERROR(VLOOKUP("buildings|PM25|Asthma symptoms wheeze", US_national_yearly!$D:$AM, 13, FALSE) / VLOOKUP("buildings|PM25|Asthma symptoms wheeze", US_national_yearly!$D:$AM, 10, FALSE), 1)</f>
        <v>4.5352108039718321E-2</v>
      </c>
      <c r="F8" s="7">
        <f>$B8 * IFERROR(VLOOKUP("buildings|PM25|Asthma symptoms wheeze", US_national_yearly!$D:$AM, 14, FALSE) / VLOOKUP("buildings|PM25|Asthma symptoms wheeze", US_national_yearly!$D:$AM, 10, FALSE), 1)</f>
        <v>4.5352108039718321E-2</v>
      </c>
      <c r="G8" s="7">
        <f>$B8 * IFERROR(VLOOKUP("buildings|PM25|Asthma symptoms wheeze", US_national_yearly!$D:$AM, 15, FALSE) / VLOOKUP("buildings|PM25|Asthma symptoms wheeze", US_national_yearly!$D:$AM, 10, FALSE), 1)</f>
        <v>4.5352108039718321E-2</v>
      </c>
      <c r="H8" s="7">
        <f>$B8 * IFERROR(VLOOKUP("buildings|PM25|Asthma symptoms wheeze", US_national_yearly!$D:$AM, 16, FALSE) / VLOOKUP("buildings|PM25|Asthma symptoms wheeze", US_national_yearly!$D:$AM, 10, FALSE), 1)</f>
        <v>4.5352108039718321E-2</v>
      </c>
      <c r="I8" s="7">
        <f>$B8 * IFERROR(VLOOKUP("buildings|PM25|Asthma symptoms wheeze", US_national_yearly!$D:$AM, 17, FALSE) / VLOOKUP("buildings|PM25|Asthma symptoms wheeze", US_national_yearly!$D:$AM, 10, FALSE), 1)</f>
        <v>4.5352108039718321E-2</v>
      </c>
      <c r="J8" s="7">
        <f>$B8 * IFERROR(VLOOKUP("buildings|PM25|Asthma symptoms wheeze", US_national_yearly!$D:$AM, 18, FALSE) / VLOOKUP("buildings|PM25|Asthma symptoms wheeze", US_national_yearly!$D:$AM, 10, FALSE), 1)</f>
        <v>4.5352108039718321E-2</v>
      </c>
      <c r="K8" s="7">
        <f>$B8 * IFERROR(VLOOKUP("buildings|PM25|Asthma symptoms wheeze", US_national_yearly!$D:$AM, 19, FALSE) / VLOOKUP("buildings|PM25|Asthma symptoms wheeze", US_national_yearly!$D:$AM, 10, FALSE), 1)</f>
        <v>4.5352108039718321E-2</v>
      </c>
      <c r="L8" s="7">
        <f>$B8 * IFERROR(VLOOKUP("buildings|PM25|Asthma symptoms wheeze", US_national_yearly!$D:$AM, 20, FALSE) / VLOOKUP("buildings|PM25|Asthma symptoms wheeze", US_national_yearly!$D:$AM, 10, FALSE), 1)</f>
        <v>4.5352108039718321E-2</v>
      </c>
      <c r="M8" s="7">
        <f>$B8 * IFERROR(VLOOKUP("buildings|PM25|Asthma symptoms wheeze", US_national_yearly!$D:$AM, 21, FALSE) / VLOOKUP("buildings|PM25|Asthma symptoms wheeze", US_national_yearly!$D:$AM, 10, FALSE), 1)</f>
        <v>4.5352108039718321E-2</v>
      </c>
      <c r="N8" s="7">
        <f>$B8 * IFERROR(VLOOKUP("buildings|PM25|Asthma symptoms wheeze", US_national_yearly!$D:$AM, 22, FALSE) / VLOOKUP("buildings|PM25|Asthma symptoms wheeze", US_national_yearly!$D:$AM, 10, FALSE), 1)</f>
        <v>4.5352108039718321E-2</v>
      </c>
      <c r="O8" s="7">
        <f>$B8 * IFERROR(VLOOKUP("buildings|PM25|Asthma symptoms wheeze", US_national_yearly!$D:$AM, 23, FALSE) / VLOOKUP("buildings|PM25|Asthma symptoms wheeze", US_national_yearly!$D:$AM, 10, FALSE), 1)</f>
        <v>4.5352108039718321E-2</v>
      </c>
      <c r="P8" s="7">
        <f>$B8 * IFERROR(VLOOKUP("buildings|PM25|Asthma symptoms wheeze", US_national_yearly!$D:$AM, 24, FALSE) / VLOOKUP("buildings|PM25|Asthma symptoms wheeze", US_national_yearly!$D:$AM, 10, FALSE), 1)</f>
        <v>4.5352108039718321E-2</v>
      </c>
      <c r="Q8" s="7">
        <f>$B8 * IFERROR(VLOOKUP("buildings|PM25|Asthma symptoms wheeze", US_national_yearly!$D:$AM, 25, FALSE) / VLOOKUP("buildings|PM25|Asthma symptoms wheeze", US_national_yearly!$D:$AM, 10, FALSE), 1)</f>
        <v>4.5352108039718321E-2</v>
      </c>
      <c r="R8" s="7">
        <f>$B8 * IFERROR(VLOOKUP("buildings|PM25|Asthma symptoms wheeze", US_national_yearly!$D:$AM, 26, FALSE) / VLOOKUP("buildings|PM25|Asthma symptoms wheeze", US_national_yearly!$D:$AM, 10, FALSE), 1)</f>
        <v>4.5352108039718321E-2</v>
      </c>
      <c r="S8" s="7">
        <f>$B8 * IFERROR(VLOOKUP("buildings|PM25|Asthma symptoms wheeze", US_national_yearly!$D:$AM, 27, FALSE) / VLOOKUP("buildings|PM25|Asthma symptoms wheeze", US_national_yearly!$D:$AM, 10, FALSE), 1)</f>
        <v>4.5352108039718321E-2</v>
      </c>
      <c r="T8" s="7">
        <f>$B8 * IFERROR(VLOOKUP("buildings|PM25|Asthma symptoms wheeze", US_national_yearly!$D:$AM, 28, FALSE) / VLOOKUP("buildings|PM25|Asthma symptoms wheeze", US_national_yearly!$D:$AM, 10, FALSE), 1)</f>
        <v>4.5352108039718321E-2</v>
      </c>
      <c r="U8" s="7">
        <f>$B8 * IFERROR(VLOOKUP("buildings|PM25|Asthma symptoms wheeze", US_national_yearly!$D:$AM, 29, FALSE) / VLOOKUP("buildings|PM25|Asthma symptoms wheeze", US_national_yearly!$D:$AM, 10, FALSE), 1)</f>
        <v>4.5352108039718321E-2</v>
      </c>
      <c r="V8" s="7">
        <f>$B8 * IFERROR(VLOOKUP("buildings|PM25|Asthma symptoms wheeze", US_national_yearly!$D:$AM, 30, FALSE) / VLOOKUP("buildings|PM25|Asthma symptoms wheeze", US_national_yearly!$D:$AM, 10, FALSE), 1)</f>
        <v>4.5352108039718321E-2</v>
      </c>
      <c r="W8" s="7">
        <f>$B8 * IFERROR(VLOOKUP("buildings|PM25|Asthma symptoms wheeze", US_national_yearly!$D:$AM, 31, FALSE) / VLOOKUP("buildings|PM25|Asthma symptoms wheeze", US_national_yearly!$D:$AM, 10, FALSE), 1)</f>
        <v>4.5352108039718321E-2</v>
      </c>
      <c r="X8" s="7">
        <f>$B8 * IFERROR(VLOOKUP("buildings|PM25|Asthma symptoms wheeze", US_national_yearly!$D:$AM, 32, FALSE) / VLOOKUP("buildings|PM25|Asthma symptoms wheeze", US_national_yearly!$D:$AM, 10, FALSE), 1)</f>
        <v>4.5352108039718321E-2</v>
      </c>
      <c r="Y8" s="7">
        <f>$B8 * IFERROR(VLOOKUP("buildings|PM25|Asthma symptoms wheeze", US_national_yearly!$D:$AM, 33, FALSE) / VLOOKUP("buildings|PM25|Asthma symptoms wheeze", US_national_yearly!$D:$AM, 10, FALSE), 1)</f>
        <v>4.5352108039718321E-2</v>
      </c>
      <c r="Z8" s="7">
        <f>$B8 * IFERROR(VLOOKUP("buildings|PM25|Asthma symptoms wheeze", US_national_yearly!$D:$AM, 34, FALSE) / VLOOKUP("buildings|PM25|Asthma symptoms wheeze", US_national_yearly!$D:$AM, 10, FALSE), 1)</f>
        <v>4.5352108039718321E-2</v>
      </c>
      <c r="AA8" s="7">
        <f>$B8 * IFERROR(VLOOKUP("buildings|PM25|Asthma symptoms wheeze", US_national_yearly!$D:$AM, 35, FALSE) / VLOOKUP("buildings|PM25|Asthma symptoms wheeze", US_national_yearly!$D:$AM, 10, FALSE), 1)</f>
        <v>4.5352108039718321E-2</v>
      </c>
      <c r="AB8" s="7">
        <f>$B8 * IFERROR(VLOOKUP("buildings|PM25|Asthma symptoms wheeze", US_national_yearly!$D:$AM, 36, FALSE) / VLOOKUP("buildings|PM25|Asthma symptoms wheeze", US_national_yearly!$D:$AM, 10, FALSE), 1)</f>
        <v>4.5352108039718321E-2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8.0882572539860685E-4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8.1348793136107539E-4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8.1815013732354416E-4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8.2281234328601292E-4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8.2747454924848168E-4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8.3250550142758499E-4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8.375364536066884E-4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8.4232134406935497E-4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8.4710623453202144E-4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8.5189112499468791E-4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8.5667601545735459E-4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8.6146090592002106E-4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8.6490253836626592E-4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8.6834417081251079E-4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8.7178580325875566E-4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8.7522743570500031E-4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8.7866906815124528E-4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8.8194816231243966E-4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8.8522725647363447E-4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8.8850635063482885E-4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8.9178544479602334E-4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8.9506453895721815E-4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8.9823162412160963E-4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9.0139870928600133E-4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9.0456579445039281E-4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9.0773287961478451E-4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9.1089996477917599E-4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4.7624245562501106E-3</v>
      </c>
      <c r="C13" s="7">
        <f>$B13 * IFERROR(VLOOKUP("buildings|PM25|Non-fatal heart attacks", US_national_yearly!$D:$AM, 11, FALSE) / VLOOKUP("buildings|PM25|Non-fatal heart attacks", US_national_yearly!$D:$AM, 10, FALSE), 1)</f>
        <v>4.9009464134329196E-3</v>
      </c>
      <c r="D13" s="7">
        <f>$B13 * IFERROR(VLOOKUP("buildings|PM25|Non-fatal heart attacks", US_national_yearly!$D:$AM, 12, FALSE) / VLOOKUP("buildings|PM25|Non-fatal heart attacks", US_national_yearly!$D:$AM, 10, FALSE), 1)</f>
        <v>5.0394682706157269E-3</v>
      </c>
      <c r="E13" s="7">
        <f>$B13 * IFERROR(VLOOKUP("buildings|PM25|Non-fatal heart attacks", US_national_yearly!$D:$AM, 13, FALSE) / VLOOKUP("buildings|PM25|Non-fatal heart attacks", US_national_yearly!$D:$AM, 10, FALSE), 1)</f>
        <v>5.1779901277985351E-3</v>
      </c>
      <c r="F13" s="7">
        <f>$B13 * IFERROR(VLOOKUP("buildings|PM25|Non-fatal heart attacks", US_national_yearly!$D:$AM, 14, FALSE) / VLOOKUP("buildings|PM25|Non-fatal heart attacks", US_national_yearly!$D:$AM, 10, FALSE), 1)</f>
        <v>5.3165119849813433E-3</v>
      </c>
      <c r="G13" s="7">
        <f>$B13 * IFERROR(VLOOKUP("buildings|PM25|Non-fatal heart attacks", US_national_yearly!$D:$AM, 15, FALSE) / VLOOKUP("buildings|PM25|Non-fatal heart attacks", US_national_yearly!$D:$AM, 10, FALSE), 1)</f>
        <v>5.447215268932471E-3</v>
      </c>
      <c r="H13" s="7">
        <f>$B13 * IFERROR(VLOOKUP("buildings|PM25|Non-fatal heart attacks", US_national_yearly!$D:$AM, 16, FALSE) / VLOOKUP("buildings|PM25|Non-fatal heart attacks", US_national_yearly!$D:$AM, 10, FALSE), 1)</f>
        <v>5.5779185528835951E-3</v>
      </c>
      <c r="I13" s="7">
        <f>$B13 * IFERROR(VLOOKUP("buildings|PM25|Non-fatal heart attacks", US_national_yearly!$D:$AM, 17, FALSE) / VLOOKUP("buildings|PM25|Non-fatal heart attacks", US_national_yearly!$D:$AM, 10, FALSE), 1)</f>
        <v>5.683079496394931E-3</v>
      </c>
      <c r="J13" s="7">
        <f>$B13 * IFERROR(VLOOKUP("buildings|PM25|Non-fatal heart attacks", US_national_yearly!$D:$AM, 18, FALSE) / VLOOKUP("buildings|PM25|Non-fatal heart attacks", US_national_yearly!$D:$AM, 10, FALSE), 1)</f>
        <v>5.7882404399062668E-3</v>
      </c>
      <c r="K13" s="7">
        <f>$B13 * IFERROR(VLOOKUP("buildings|PM25|Non-fatal heart attacks", US_national_yearly!$D:$AM, 19, FALSE) / VLOOKUP("buildings|PM25|Non-fatal heart attacks", US_national_yearly!$D:$AM, 10, FALSE), 1)</f>
        <v>5.8934013834176019E-3</v>
      </c>
      <c r="L13" s="7">
        <f>$B13 * IFERROR(VLOOKUP("buildings|PM25|Non-fatal heart attacks", US_national_yearly!$D:$AM, 20, FALSE) / VLOOKUP("buildings|PM25|Non-fatal heart attacks", US_national_yearly!$D:$AM, 10, FALSE), 1)</f>
        <v>5.998562326928936E-3</v>
      </c>
      <c r="M13" s="7">
        <f>$B13 * IFERROR(VLOOKUP("buildings|PM25|Non-fatal heart attacks", US_national_yearly!$D:$AM, 21, FALSE) / VLOOKUP("buildings|PM25|Non-fatal heart attacks", US_national_yearly!$D:$AM, 10, FALSE), 1)</f>
        <v>6.103723270440271E-3</v>
      </c>
      <c r="N13" s="7">
        <f>$B13 * IFERROR(VLOOKUP("buildings|PM25|Non-fatal heart attacks", US_national_yearly!$D:$AM, 22, FALSE) / VLOOKUP("buildings|PM25|Non-fatal heart attacks", US_national_yearly!$D:$AM, 10, FALSE), 1)</f>
        <v>6.1716588829073445E-3</v>
      </c>
      <c r="O13" s="7">
        <f>$B13 * IFERROR(VLOOKUP("buildings|PM25|Non-fatal heart attacks", US_national_yearly!$D:$AM, 23, FALSE) / VLOOKUP("buildings|PM25|Non-fatal heart attacks", US_national_yearly!$D:$AM, 10, FALSE), 1)</f>
        <v>6.2395944953744162E-3</v>
      </c>
      <c r="P13" s="7">
        <f>$B13 * IFERROR(VLOOKUP("buildings|PM25|Non-fatal heart attacks", US_national_yearly!$D:$AM, 24, FALSE) / VLOOKUP("buildings|PM25|Non-fatal heart attacks", US_national_yearly!$D:$AM, 10, FALSE), 1)</f>
        <v>6.3075301078414888E-3</v>
      </c>
      <c r="Q13" s="7">
        <f>$B13 * IFERROR(VLOOKUP("buildings|PM25|Non-fatal heart attacks", US_national_yearly!$D:$AM, 25, FALSE) / VLOOKUP("buildings|PM25|Non-fatal heart attacks", US_national_yearly!$D:$AM, 10, FALSE), 1)</f>
        <v>6.3754657203085614E-3</v>
      </c>
      <c r="R13" s="7">
        <f>$B13 * IFERROR(VLOOKUP("buildings|PM25|Non-fatal heart attacks", US_national_yearly!$D:$AM, 26, FALSE) / VLOOKUP("buildings|PM25|Non-fatal heart attacks", US_national_yearly!$D:$AM, 10, FALSE), 1)</f>
        <v>6.4434013327756339E-3</v>
      </c>
      <c r="S13" s="7">
        <f>$B13 * IFERROR(VLOOKUP("buildings|PM25|Non-fatal heart attacks", US_national_yearly!$D:$AM, 27, FALSE) / VLOOKUP("buildings|PM25|Non-fatal heart attacks", US_national_yearly!$D:$AM, 10, FALSE), 1)</f>
        <v>6.4793331264435417E-3</v>
      </c>
      <c r="T13" s="7">
        <f>$B13 * IFERROR(VLOOKUP("buildings|PM25|Non-fatal heart attacks", US_national_yearly!$D:$AM, 28, FALSE) / VLOOKUP("buildings|PM25|Non-fatal heart attacks", US_national_yearly!$D:$AM, 10, FALSE), 1)</f>
        <v>6.5152649201114504E-3</v>
      </c>
      <c r="U13" s="7">
        <f>$B13 * IFERROR(VLOOKUP("buildings|PM25|Non-fatal heart attacks", US_national_yearly!$D:$AM, 29, FALSE) / VLOOKUP("buildings|PM25|Non-fatal heart attacks", US_national_yearly!$D:$AM, 10, FALSE), 1)</f>
        <v>6.551196713779359E-3</v>
      </c>
      <c r="V13" s="7">
        <f>$B13 * IFERROR(VLOOKUP("buildings|PM25|Non-fatal heart attacks", US_national_yearly!$D:$AM, 30, FALSE) / VLOOKUP("buildings|PM25|Non-fatal heart attacks", US_national_yearly!$D:$AM, 10, FALSE), 1)</f>
        <v>6.5871285074472668E-3</v>
      </c>
      <c r="W13" s="7">
        <f>$B13 * IFERROR(VLOOKUP("buildings|PM25|Non-fatal heart attacks", US_national_yearly!$D:$AM, 31, FALSE) / VLOOKUP("buildings|PM25|Non-fatal heart attacks", US_national_yearly!$D:$AM, 10, FALSE), 1)</f>
        <v>6.6230603011151754E-3</v>
      </c>
      <c r="X13" s="7">
        <f>$B13 * IFERROR(VLOOKUP("buildings|PM25|Non-fatal heart attacks", US_national_yearly!$D:$AM, 32, FALSE) / VLOOKUP("buildings|PM25|Non-fatal heart attacks", US_national_yearly!$D:$AM, 10, FALSE), 1)</f>
        <v>6.6504070204943967E-3</v>
      </c>
      <c r="Y13" s="7">
        <f>$B13 * IFERROR(VLOOKUP("buildings|PM25|Non-fatal heart attacks", US_national_yearly!$D:$AM, 33, FALSE) / VLOOKUP("buildings|PM25|Non-fatal heart attacks", US_national_yearly!$D:$AM, 10, FALSE), 1)</f>
        <v>6.6777537398736179E-3</v>
      </c>
      <c r="Z13" s="7">
        <f>$B13 * IFERROR(VLOOKUP("buildings|PM25|Non-fatal heart attacks", US_national_yearly!$D:$AM, 34, FALSE) / VLOOKUP("buildings|PM25|Non-fatal heart attacks", US_national_yearly!$D:$AM, 10, FALSE), 1)</f>
        <v>6.7051004592528383E-3</v>
      </c>
      <c r="AA13" s="7">
        <f>$B13 * IFERROR(VLOOKUP("buildings|PM25|Non-fatal heart attacks", US_national_yearly!$D:$AM, 35, FALSE) / VLOOKUP("buildings|PM25|Non-fatal heart attacks", US_national_yearly!$D:$AM, 10, FALSE), 1)</f>
        <v>6.7324471786320596E-3</v>
      </c>
      <c r="AB13" s="7">
        <f>$B13 * IFERROR(VLOOKUP("buildings|PM25|Non-fatal heart attacks", US_national_yearly!$D:$AM, 36, FALSE) / VLOOKUP("buildings|PM25|Non-fatal heart attacks", US_national_yearly!$D:$AM, 10, FALSE), 1)</f>
        <v>6.7597938980112817E-3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3.2434559863285228</v>
      </c>
      <c r="C14" s="7">
        <f>$B14 * IFERROR(VLOOKUP("buildings|PM25|Minor restricted activity days", US_national_yearly!$D:$AM, 11, FALSE) / VLOOKUP("buildings|PM25|Minor restricted activity days", US_national_yearly!$D:$AM, 10, FALSE), 1)</f>
        <v>3.2515226432026316</v>
      </c>
      <c r="D14" s="7">
        <f>$B14 * IFERROR(VLOOKUP("buildings|PM25|Minor restricted activity days", US_national_yearly!$D:$AM, 12, FALSE) / VLOOKUP("buildings|PM25|Minor restricted activity days", US_national_yearly!$D:$AM, 10, FALSE), 1)</f>
        <v>3.2595893000767404</v>
      </c>
      <c r="E14" s="7">
        <f>$B14 * IFERROR(VLOOKUP("buildings|PM25|Minor restricted activity days", US_national_yearly!$D:$AM, 13, FALSE) / VLOOKUP("buildings|PM25|Minor restricted activity days", US_national_yearly!$D:$AM, 10, FALSE), 1)</f>
        <v>3.2676559569508492</v>
      </c>
      <c r="F14" s="7">
        <f>$B14 * IFERROR(VLOOKUP("buildings|PM25|Minor restricted activity days", US_national_yearly!$D:$AM, 14, FALSE) / VLOOKUP("buildings|PM25|Minor restricted activity days", US_national_yearly!$D:$AM, 10, FALSE), 1)</f>
        <v>3.2757226138249571</v>
      </c>
      <c r="G14" s="7">
        <f>$B14 * IFERROR(VLOOKUP("buildings|PM25|Minor restricted activity days", US_national_yearly!$D:$AM, 15, FALSE) / VLOOKUP("buildings|PM25|Minor restricted activity days", US_national_yearly!$D:$AM, 10, FALSE), 1)</f>
        <v>3.2875539502471121</v>
      </c>
      <c r="H14" s="7">
        <f>$B14 * IFERROR(VLOOKUP("buildings|PM25|Minor restricted activity days", US_national_yearly!$D:$AM, 16, FALSE) / VLOOKUP("buildings|PM25|Minor restricted activity days", US_national_yearly!$D:$AM, 10, FALSE), 1)</f>
        <v>3.2993852866692657</v>
      </c>
      <c r="I14" s="7">
        <f>$B14 * IFERROR(VLOOKUP("buildings|PM25|Minor restricted activity days", US_national_yearly!$D:$AM, 17, FALSE) / VLOOKUP("buildings|PM25|Minor restricted activity days", US_national_yearly!$D:$AM, 10, FALSE), 1)</f>
        <v>3.3195038696876615</v>
      </c>
      <c r="J14" s="7">
        <f>$B14 * IFERROR(VLOOKUP("buildings|PM25|Minor restricted activity days", US_national_yearly!$D:$AM, 18, FALSE) / VLOOKUP("buildings|PM25|Minor restricted activity days", US_national_yearly!$D:$AM, 10, FALSE), 1)</f>
        <v>3.3396224527060587</v>
      </c>
      <c r="K14" s="7">
        <f>$B14 * IFERROR(VLOOKUP("buildings|PM25|Minor restricted activity days", US_national_yearly!$D:$AM, 19, FALSE) / VLOOKUP("buildings|PM25|Minor restricted activity days", US_national_yearly!$D:$AM, 10, FALSE), 1)</f>
        <v>3.3597410357244533</v>
      </c>
      <c r="L14" s="7">
        <f>$B14 * IFERROR(VLOOKUP("buildings|PM25|Minor restricted activity days", US_national_yearly!$D:$AM, 20, FALSE) / VLOOKUP("buildings|PM25|Minor restricted activity days", US_national_yearly!$D:$AM, 10, FALSE), 1)</f>
        <v>3.3798596187428482</v>
      </c>
      <c r="M14" s="7">
        <f>$B14 * IFERROR(VLOOKUP("buildings|PM25|Minor restricted activity days", US_national_yearly!$D:$AM, 21, FALSE) / VLOOKUP("buildings|PM25|Minor restricted activity days", US_national_yearly!$D:$AM, 10, FALSE), 1)</f>
        <v>3.3999782017612432</v>
      </c>
      <c r="N14" s="7">
        <f>$B14 * IFERROR(VLOOKUP("buildings|PM25|Minor restricted activity days", US_national_yearly!$D:$AM, 22, FALSE) / VLOOKUP("buildings|PM25|Minor restricted activity days", US_national_yearly!$D:$AM, 10, FALSE), 1)</f>
        <v>3.4273145021995641</v>
      </c>
      <c r="O14" s="7">
        <f>$B14 * IFERROR(VLOOKUP("buildings|PM25|Minor restricted activity days", US_national_yearly!$D:$AM, 23, FALSE) / VLOOKUP("buildings|PM25|Minor restricted activity days", US_national_yearly!$D:$AM, 10, FALSE), 1)</f>
        <v>3.4546508026378842</v>
      </c>
      <c r="P14" s="7">
        <f>$B14 * IFERROR(VLOOKUP("buildings|PM25|Minor restricted activity days", US_national_yearly!$D:$AM, 24, FALSE) / VLOOKUP("buildings|PM25|Minor restricted activity days", US_national_yearly!$D:$AM, 10, FALSE), 1)</f>
        <v>3.4819871030762042</v>
      </c>
      <c r="Q14" s="7">
        <f>$B14 * IFERROR(VLOOKUP("buildings|PM25|Minor restricted activity days", US_national_yearly!$D:$AM, 25, FALSE) / VLOOKUP("buildings|PM25|Minor restricted activity days", US_national_yearly!$D:$AM, 10, FALSE), 1)</f>
        <v>3.5093234035145247</v>
      </c>
      <c r="R14" s="7">
        <f>$B14 * IFERROR(VLOOKUP("buildings|PM25|Minor restricted activity days", US_national_yearly!$D:$AM, 26, FALSE) / VLOOKUP("buildings|PM25|Minor restricted activity days", US_national_yearly!$D:$AM, 10, FALSE), 1)</f>
        <v>3.5366597039528447</v>
      </c>
      <c r="S14" s="7">
        <f>$B14 * IFERROR(VLOOKUP("buildings|PM25|Minor restricted activity days", US_national_yearly!$D:$AM, 27, FALSE) / VLOOKUP("buildings|PM25|Minor restricted activity days", US_national_yearly!$D:$AM, 10, FALSE), 1)</f>
        <v>3.5641654089237438</v>
      </c>
      <c r="T14" s="7">
        <f>$B14 * IFERROR(VLOOKUP("buildings|PM25|Minor restricted activity days", US_national_yearly!$D:$AM, 28, FALSE) / VLOOKUP("buildings|PM25|Minor restricted activity days", US_national_yearly!$D:$AM, 10, FALSE), 1)</f>
        <v>3.591671113894642</v>
      </c>
      <c r="U14" s="7">
        <f>$B14 * IFERROR(VLOOKUP("buildings|PM25|Minor restricted activity days", US_national_yearly!$D:$AM, 29, FALSE) / VLOOKUP("buildings|PM25|Minor restricted activity days", US_national_yearly!$D:$AM, 10, FALSE), 1)</f>
        <v>3.6191768188655411</v>
      </c>
      <c r="V14" s="7">
        <f>$B14 * IFERROR(VLOOKUP("buildings|PM25|Minor restricted activity days", US_national_yearly!$D:$AM, 30, FALSE) / VLOOKUP("buildings|PM25|Minor restricted activity days", US_national_yearly!$D:$AM, 10, FALSE), 1)</f>
        <v>3.6466825238364398</v>
      </c>
      <c r="W14" s="7">
        <f>$B14 * IFERROR(VLOOKUP("buildings|PM25|Minor restricted activity days", US_national_yearly!$D:$AM, 31, FALSE) / VLOOKUP("buildings|PM25|Minor restricted activity days", US_national_yearly!$D:$AM, 10, FALSE), 1)</f>
        <v>3.6741882288073389</v>
      </c>
      <c r="X14" s="7">
        <f>$B14 * IFERROR(VLOOKUP("buildings|PM25|Minor restricted activity days", US_national_yearly!$D:$AM, 32, FALSE) / VLOOKUP("buildings|PM25|Minor restricted activity days", US_national_yearly!$D:$AM, 10, FALSE), 1)</f>
        <v>3.6980715862003417</v>
      </c>
      <c r="Y14" s="7">
        <f>$B14 * IFERROR(VLOOKUP("buildings|PM25|Minor restricted activity days", US_national_yearly!$D:$AM, 33, FALSE) / VLOOKUP("buildings|PM25|Minor restricted activity days", US_national_yearly!$D:$AM, 10, FALSE), 1)</f>
        <v>3.7219549435933441</v>
      </c>
      <c r="Z14" s="7">
        <f>$B14 * IFERROR(VLOOKUP("buildings|PM25|Minor restricted activity days", US_national_yearly!$D:$AM, 34, FALSE) / VLOOKUP("buildings|PM25|Minor restricted activity days", US_national_yearly!$D:$AM, 10, FALSE), 1)</f>
        <v>3.7458383009863461</v>
      </c>
      <c r="AA14" s="7">
        <f>$B14 * IFERROR(VLOOKUP("buildings|PM25|Minor restricted activity days", US_national_yearly!$D:$AM, 35, FALSE) / VLOOKUP("buildings|PM25|Minor restricted activity days", US_national_yearly!$D:$AM, 10, FALSE), 1)</f>
        <v>3.7697216583793485</v>
      </c>
      <c r="AB14" s="7">
        <f>$B14 * IFERROR(VLOOKUP("buildings|PM25|Minor restricted activity days", US_national_yearly!$D:$AM, 36, FALSE) / VLOOKUP("buildings|PM25|Minor restricted activity days", US_national_yearly!$D:$AM, 10, FALSE), 1)</f>
        <v>3.7936050157723509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0.54281105406684416</v>
      </c>
      <c r="C15" s="7">
        <f>$B15 * IFERROR(VLOOKUP("buildings|PM25|Work loss days", US_national_yearly!$D:$AM, 11, FALSE) / VLOOKUP("buildings|PM25|Work loss days", US_national_yearly!$D:$AM, 10, FALSE), 1)</f>
        <v>0.54451451221720226</v>
      </c>
      <c r="D15" s="7">
        <f>$B15 * IFERROR(VLOOKUP("buildings|PM25|Work loss days", US_national_yearly!$D:$AM, 12, FALSE) / VLOOKUP("buildings|PM25|Work loss days", US_national_yearly!$D:$AM, 10, FALSE), 1)</f>
        <v>0.54621797036756026</v>
      </c>
      <c r="E15" s="7">
        <f>$B15 * IFERROR(VLOOKUP("buildings|PM25|Work loss days", US_national_yearly!$D:$AM, 13, FALSE) / VLOOKUP("buildings|PM25|Work loss days", US_national_yearly!$D:$AM, 10, FALSE), 1)</f>
        <v>0.54792142851791825</v>
      </c>
      <c r="F15" s="7">
        <f>$B15 * IFERROR(VLOOKUP("buildings|PM25|Work loss days", US_national_yearly!$D:$AM, 14, FALSE) / VLOOKUP("buildings|PM25|Work loss days", US_national_yearly!$D:$AM, 10, FALSE), 1)</f>
        <v>0.54962488666827636</v>
      </c>
      <c r="G15" s="7">
        <f>$B15 * IFERROR(VLOOKUP("buildings|PM25|Work loss days", US_national_yearly!$D:$AM, 15, FALSE) / VLOOKUP("buildings|PM25|Work loss days", US_national_yearly!$D:$AM, 10, FALSE), 1)</f>
        <v>0.55185145912472733</v>
      </c>
      <c r="H15" s="7">
        <f>$B15 * IFERROR(VLOOKUP("buildings|PM25|Work loss days", US_national_yearly!$D:$AM, 16, FALSE) / VLOOKUP("buildings|PM25|Work loss days", US_national_yearly!$D:$AM, 10, FALSE), 1)</f>
        <v>0.55407803158117841</v>
      </c>
      <c r="I15" s="7">
        <f>$B15 * IFERROR(VLOOKUP("buildings|PM25|Work loss days", US_national_yearly!$D:$AM, 17, FALSE) / VLOOKUP("buildings|PM25|Work loss days", US_national_yearly!$D:$AM, 10, FALSE), 1)</f>
        <v>0.55734812352413532</v>
      </c>
      <c r="J15" s="7">
        <f>$B15 * IFERROR(VLOOKUP("buildings|PM25|Work loss days", US_national_yearly!$D:$AM, 18, FALSE) / VLOOKUP("buildings|PM25|Work loss days", US_national_yearly!$D:$AM, 10, FALSE), 1)</f>
        <v>0.56061821546709212</v>
      </c>
      <c r="K15" s="7">
        <f>$B15 * IFERROR(VLOOKUP("buildings|PM25|Work loss days", US_national_yearly!$D:$AM, 19, FALSE) / VLOOKUP("buildings|PM25|Work loss days", US_national_yearly!$D:$AM, 10, FALSE), 1)</f>
        <v>0.56388830741004903</v>
      </c>
      <c r="L15" s="7">
        <f>$B15 * IFERROR(VLOOKUP("buildings|PM25|Work loss days", US_national_yearly!$D:$AM, 20, FALSE) / VLOOKUP("buildings|PM25|Work loss days", US_national_yearly!$D:$AM, 10, FALSE), 1)</f>
        <v>0.56715839935300594</v>
      </c>
      <c r="M15" s="7">
        <f>$B15 * IFERROR(VLOOKUP("buildings|PM25|Work loss days", US_national_yearly!$D:$AM, 21, FALSE) / VLOOKUP("buildings|PM25|Work loss days", US_national_yearly!$D:$AM, 10, FALSE), 1)</f>
        <v>0.57042849129596296</v>
      </c>
      <c r="N15" s="7">
        <f>$B15 * IFERROR(VLOOKUP("buildings|PM25|Work loss days", US_national_yearly!$D:$AM, 22, FALSE) / VLOOKUP("buildings|PM25|Work loss days", US_national_yearly!$D:$AM, 10, FALSE), 1)</f>
        <v>0.57453986484364949</v>
      </c>
      <c r="O15" s="7">
        <f>$B15 * IFERROR(VLOOKUP("buildings|PM25|Work loss days", US_national_yearly!$D:$AM, 23, FALSE) / VLOOKUP("buildings|PM25|Work loss days", US_national_yearly!$D:$AM, 10, FALSE), 1)</f>
        <v>0.57865123839133614</v>
      </c>
      <c r="P15" s="7">
        <f>$B15 * IFERROR(VLOOKUP("buildings|PM25|Work loss days", US_national_yearly!$D:$AM, 24, FALSE) / VLOOKUP("buildings|PM25|Work loss days", US_national_yearly!$D:$AM, 10, FALSE), 1)</f>
        <v>0.58276261193902268</v>
      </c>
      <c r="Q15" s="7">
        <f>$B15 * IFERROR(VLOOKUP("buildings|PM25|Work loss days", US_national_yearly!$D:$AM, 25, FALSE) / VLOOKUP("buildings|PM25|Work loss days", US_national_yearly!$D:$AM, 10, FALSE), 1)</f>
        <v>0.58687398548670922</v>
      </c>
      <c r="R15" s="7">
        <f>$B15 * IFERROR(VLOOKUP("buildings|PM25|Work loss days", US_national_yearly!$D:$AM, 26, FALSE) / VLOOKUP("buildings|PM25|Work loss days", US_national_yearly!$D:$AM, 10, FALSE), 1)</f>
        <v>0.59098535903439586</v>
      </c>
      <c r="S15" s="7">
        <f>$B15 * IFERROR(VLOOKUP("buildings|PM25|Work loss days", US_national_yearly!$D:$AM, 27, FALSE) / VLOOKUP("buildings|PM25|Work loss days", US_national_yearly!$D:$AM, 10, FALSE), 1)</f>
        <v>0.5955268820933407</v>
      </c>
      <c r="T15" s="7">
        <f>$B15 * IFERROR(VLOOKUP("buildings|PM25|Work loss days", US_national_yearly!$D:$AM, 28, FALSE) / VLOOKUP("buildings|PM25|Work loss days", US_national_yearly!$D:$AM, 10, FALSE), 1)</f>
        <v>0.60006840515228577</v>
      </c>
      <c r="U15" s="7">
        <f>$B15 * IFERROR(VLOOKUP("buildings|PM25|Work loss days", US_national_yearly!$D:$AM, 29, FALSE) / VLOOKUP("buildings|PM25|Work loss days", US_national_yearly!$D:$AM, 10, FALSE), 1)</f>
        <v>0.60460992821123083</v>
      </c>
      <c r="V15" s="7">
        <f>$B15 * IFERROR(VLOOKUP("buildings|PM25|Work loss days", US_national_yearly!$D:$AM, 30, FALSE) / VLOOKUP("buildings|PM25|Work loss days", US_national_yearly!$D:$AM, 10, FALSE), 1)</f>
        <v>0.60915145127017567</v>
      </c>
      <c r="W15" s="7">
        <f>$B15 * IFERROR(VLOOKUP("buildings|PM25|Work loss days", US_national_yearly!$D:$AM, 31, FALSE) / VLOOKUP("buildings|PM25|Work loss days", US_national_yearly!$D:$AM, 10, FALSE), 1)</f>
        <v>0.61369297432912073</v>
      </c>
      <c r="X15" s="7">
        <f>$B15 * IFERROR(VLOOKUP("buildings|PM25|Work loss days", US_national_yearly!$D:$AM, 32, FALSE) / VLOOKUP("buildings|PM25|Work loss days", US_national_yearly!$D:$AM, 10, FALSE), 1)</f>
        <v>0.61772314319404875</v>
      </c>
      <c r="Y15" s="7">
        <f>$B15 * IFERROR(VLOOKUP("buildings|PM25|Work loss days", US_national_yearly!$D:$AM, 33, FALSE) / VLOOKUP("buildings|PM25|Work loss days", US_national_yearly!$D:$AM, 10, FALSE), 1)</f>
        <v>0.62175331205897677</v>
      </c>
      <c r="Z15" s="7">
        <f>$B15 * IFERROR(VLOOKUP("buildings|PM25|Work loss days", US_national_yearly!$D:$AM, 34, FALSE) / VLOOKUP("buildings|PM25|Work loss days", US_national_yearly!$D:$AM, 10, FALSE), 1)</f>
        <v>0.62578348092390479</v>
      </c>
      <c r="AA15" s="7">
        <f>$B15 * IFERROR(VLOOKUP("buildings|PM25|Work loss days", US_national_yearly!$D:$AM, 35, FALSE) / VLOOKUP("buildings|PM25|Work loss days", US_national_yearly!$D:$AM, 10, FALSE), 1)</f>
        <v>0.62981364978883292</v>
      </c>
      <c r="AB15" s="7">
        <f>$B15 * IFERROR(VLOOKUP("buildings|PM25|Work loss days", US_national_yearly!$D:$AM, 36, FALSE) / VLOOKUP("buildings|PM25|Work loss days", US_national_yearly!$D:$AM, 10, FALSE), 1)</f>
        <v>0.63384381865376094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1.1686147342794035E-3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1.2035403593919915E-3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1.2384659845045796E-3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1.2733916096171673E-3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1.3083172347297554E-3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1.3417812703235988E-3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1.3752453059174424E-3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1.4038935993483902E-3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1.4325418927793382E-3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1.4611901862102864E-3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1.4898384796412343E-3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1.5184867730721825E-3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1.5376166939152921E-3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1.5567466147584019E-3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1.5758765356015114E-3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1.5950064564446212E-3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1.6141363772877307E-3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1.6243013752259624E-3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1.6344663731641938E-3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1.6446313711024254E-3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1.6547963690406568E-3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1.6649613669788886E-3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1.6718344963608796E-3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1.6787076257428703E-3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1.6855807551248612E-3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1.6924538845068519E-3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1.6993270138888428E-3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4.4964105969279804E-4</v>
      </c>
      <c r="C2" s="7">
        <f>$B2 * IFERROR(VLOOKUP("buildings|NOx|Premature mortality", US_national_yearly!$D:$AM, 11, FALSE) / VLOOKUP("buildings|NOx|Premature mortality", US_national_yearly!$D:$AM, 10, FALSE), 1)</f>
        <v>4.5625468792524418E-4</v>
      </c>
      <c r="D2" s="7">
        <f>$B2 * IFERROR(VLOOKUP("buildings|NOx|Premature mortality", US_national_yearly!$D:$AM, 12, FALSE) / VLOOKUP("buildings|NOx|Premature mortality", US_national_yearly!$D:$AM, 10, FALSE), 1)</f>
        <v>4.6286831615769021E-4</v>
      </c>
      <c r="E2" s="7">
        <f>$B2 * IFERROR(VLOOKUP("buildings|NOx|Premature mortality", US_national_yearly!$D:$AM, 13, FALSE) / VLOOKUP("buildings|NOx|Premature mortality", US_national_yearly!$D:$AM, 10, FALSE), 1)</f>
        <v>4.6948194439013635E-4</v>
      </c>
      <c r="F2" s="7">
        <f>$B2 * IFERROR(VLOOKUP("buildings|NOx|Premature mortality", US_national_yearly!$D:$AM, 14, FALSE) / VLOOKUP("buildings|NOx|Premature mortality", US_national_yearly!$D:$AM, 10, FALSE), 1)</f>
        <v>4.7609557262258238E-4</v>
      </c>
      <c r="G2" s="7">
        <f>$B2 * IFERROR(VLOOKUP("buildings|NOx|Premature mortality", US_national_yearly!$D:$AM, 15, FALSE) / VLOOKUP("buildings|NOx|Premature mortality", US_national_yearly!$D:$AM, 10, FALSE), 1)</f>
        <v>4.8796943188237382E-4</v>
      </c>
      <c r="H2" s="7">
        <f>$B2 * IFERROR(VLOOKUP("buildings|NOx|Premature mortality", US_national_yearly!$D:$AM, 16, FALSE) / VLOOKUP("buildings|NOx|Premature mortality", US_national_yearly!$D:$AM, 10, FALSE), 1)</f>
        <v>4.9984329114216542E-4</v>
      </c>
      <c r="I2" s="7">
        <f>$B2 * IFERROR(VLOOKUP("buildings|NOx|Premature mortality", US_national_yearly!$D:$AM, 17, FALSE) / VLOOKUP("buildings|NOx|Premature mortality", US_national_yearly!$D:$AM, 10, FALSE), 1)</f>
        <v>5.075168186152425E-4</v>
      </c>
      <c r="J2" s="7">
        <f>$B2 * IFERROR(VLOOKUP("buildings|NOx|Premature mortality", US_national_yearly!$D:$AM, 18, FALSE) / VLOOKUP("buildings|NOx|Premature mortality", US_national_yearly!$D:$AM, 10, FALSE), 1)</f>
        <v>5.1519034608831947E-4</v>
      </c>
      <c r="K2" s="7">
        <f>$B2 * IFERROR(VLOOKUP("buildings|NOx|Premature mortality", US_national_yearly!$D:$AM, 19, FALSE) / VLOOKUP("buildings|NOx|Premature mortality", US_national_yearly!$D:$AM, 10, FALSE), 1)</f>
        <v>5.2286387356139654E-4</v>
      </c>
      <c r="L2" s="7">
        <f>$B2 * IFERROR(VLOOKUP("buildings|NOx|Premature mortality", US_national_yearly!$D:$AM, 20, FALSE) / VLOOKUP("buildings|NOx|Premature mortality", US_national_yearly!$D:$AM, 10, FALSE), 1)</f>
        <v>5.3053740103447362E-4</v>
      </c>
      <c r="M2" s="7">
        <f>$B2 * IFERROR(VLOOKUP("buildings|NOx|Premature mortality", US_national_yearly!$D:$AM, 21, FALSE) / VLOOKUP("buildings|NOx|Premature mortality", US_national_yearly!$D:$AM, 10, FALSE), 1)</f>
        <v>5.382109285075507E-4</v>
      </c>
      <c r="N2" s="7">
        <f>$B2 * IFERROR(VLOOKUP("buildings|NOx|Premature mortality", US_national_yearly!$D:$AM, 22, FALSE) / VLOOKUP("buildings|NOx|Premature mortality", US_national_yearly!$D:$AM, 10, FALSE), 1)</f>
        <v>5.4389671944283678E-4</v>
      </c>
      <c r="O2" s="7">
        <f>$B2 * IFERROR(VLOOKUP("buildings|NOx|Premature mortality", US_national_yearly!$D:$AM, 23, FALSE) / VLOOKUP("buildings|NOx|Premature mortality", US_national_yearly!$D:$AM, 10, FALSE), 1)</f>
        <v>5.4958251037812308E-4</v>
      </c>
      <c r="P2" s="7">
        <f>$B2 * IFERROR(VLOOKUP("buildings|NOx|Premature mortality", US_national_yearly!$D:$AM, 24, FALSE) / VLOOKUP("buildings|NOx|Premature mortality", US_national_yearly!$D:$AM, 10, FALSE), 1)</f>
        <v>5.5526830131340937E-4</v>
      </c>
      <c r="Q2" s="7">
        <f>$B2 * IFERROR(VLOOKUP("buildings|NOx|Premature mortality", US_national_yearly!$D:$AM, 25, FALSE) / VLOOKUP("buildings|NOx|Premature mortality", US_national_yearly!$D:$AM, 10, FALSE), 1)</f>
        <v>5.6095409224869556E-4</v>
      </c>
      <c r="R2" s="7">
        <f>$B2 * IFERROR(VLOOKUP("buildings|NOx|Premature mortality", US_national_yearly!$D:$AM, 26, FALSE) / VLOOKUP("buildings|NOx|Premature mortality", US_national_yearly!$D:$AM, 10, FALSE), 1)</f>
        <v>5.6663988318398175E-4</v>
      </c>
      <c r="S2" s="7">
        <f>$B2 * IFERROR(VLOOKUP("buildings|NOx|Premature mortality", US_national_yearly!$D:$AM, 27, FALSE) / VLOOKUP("buildings|NOx|Premature mortality", US_national_yearly!$D:$AM, 10, FALSE), 1)</f>
        <v>5.6922486790936581E-4</v>
      </c>
      <c r="T2" s="7">
        <f>$B2 * IFERROR(VLOOKUP("buildings|NOx|Premature mortality", US_national_yearly!$D:$AM, 28, FALSE) / VLOOKUP("buildings|NOx|Premature mortality", US_national_yearly!$D:$AM, 10, FALSE), 1)</f>
        <v>5.7180985263474975E-4</v>
      </c>
      <c r="U2" s="7">
        <f>$B2 * IFERROR(VLOOKUP("buildings|NOx|Premature mortality", US_national_yearly!$D:$AM, 29, FALSE) / VLOOKUP("buildings|NOx|Premature mortality", US_national_yearly!$D:$AM, 10, FALSE), 1)</f>
        <v>5.743948373601338E-4</v>
      </c>
      <c r="V2" s="7">
        <f>$B2 * IFERROR(VLOOKUP("buildings|NOx|Premature mortality", US_national_yearly!$D:$AM, 30, FALSE) / VLOOKUP("buildings|NOx|Premature mortality", US_national_yearly!$D:$AM, 10, FALSE), 1)</f>
        <v>5.7697982208551786E-4</v>
      </c>
      <c r="W2" s="7">
        <f>$B2 * IFERROR(VLOOKUP("buildings|NOx|Premature mortality", US_national_yearly!$D:$AM, 31, FALSE) / VLOOKUP("buildings|NOx|Premature mortality", US_national_yearly!$D:$AM, 10, FALSE), 1)</f>
        <v>5.7956480681090191E-4</v>
      </c>
      <c r="X2" s="7">
        <f>$B2 * IFERROR(VLOOKUP("buildings|NOx|Premature mortality", US_national_yearly!$D:$AM, 32, FALSE) / VLOOKUP("buildings|NOx|Premature mortality", US_national_yearly!$D:$AM, 10, FALSE), 1)</f>
        <v>5.796558478657315E-4</v>
      </c>
      <c r="Y2" s="7">
        <f>$B2 * IFERROR(VLOOKUP("buildings|NOx|Premature mortality", US_national_yearly!$D:$AM, 33, FALSE) / VLOOKUP("buildings|NOx|Premature mortality", US_national_yearly!$D:$AM, 10, FALSE), 1)</f>
        <v>5.797468889205612E-4</v>
      </c>
      <c r="Z2" s="7">
        <f>$B2 * IFERROR(VLOOKUP("buildings|NOx|Premature mortality", US_national_yearly!$D:$AM, 34, FALSE) / VLOOKUP("buildings|NOx|Premature mortality", US_national_yearly!$D:$AM, 10, FALSE), 1)</f>
        <v>5.798379299753909E-4</v>
      </c>
      <c r="AA2" s="7">
        <f>$B2 * IFERROR(VLOOKUP("buildings|NOx|Premature mortality", US_national_yearly!$D:$AM, 35, FALSE) / VLOOKUP("buildings|NOx|Premature mortality", US_national_yearly!$D:$AM, 10, FALSE), 1)</f>
        <v>5.7992897103022038E-4</v>
      </c>
      <c r="AB2" s="7">
        <f>$B2 * IFERROR(VLOOKUP("buildings|NOx|Premature mortality", US_national_yearly!$D:$AM, 36, FALSE) / VLOOKUP("buildings|NOx|Premature mortality", US_national_yearly!$D:$AM, 10, FALSE), 1)</f>
        <v>5.8002001208505018E-4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6.0431199649979092E-7</v>
      </c>
      <c r="C3" s="7">
        <f>$B3 * IFERROR(VLOOKUP("buildings|NOx|Infant mortality", US_national_yearly!$D:$AM, 11, FALSE) / VLOOKUP("buildings|NOx|Infant mortality", US_national_yearly!$D:$AM, 10, FALSE), 1)</f>
        <v>5.9857174177569727E-7</v>
      </c>
      <c r="D3" s="7">
        <f>$B3 * IFERROR(VLOOKUP("buildings|NOx|Infant mortality", US_national_yearly!$D:$AM, 12, FALSE) / VLOOKUP("buildings|NOx|Infant mortality", US_national_yearly!$D:$AM, 10, FALSE), 1)</f>
        <v>5.9283148705160341E-7</v>
      </c>
      <c r="E3" s="7">
        <f>$B3 * IFERROR(VLOOKUP("buildings|NOx|Infant mortality", US_national_yearly!$D:$AM, 13, FALSE) / VLOOKUP("buildings|NOx|Infant mortality", US_national_yearly!$D:$AM, 10, FALSE), 1)</f>
        <v>5.8709123232750976E-7</v>
      </c>
      <c r="F3" s="7">
        <f>$B3 * IFERROR(VLOOKUP("buildings|NOx|Infant mortality", US_national_yearly!$D:$AM, 14, FALSE) / VLOOKUP("buildings|NOx|Infant mortality", US_national_yearly!$D:$AM, 10, FALSE), 1)</f>
        <v>5.81350977603416E-7</v>
      </c>
      <c r="G3" s="7">
        <f>$B3 * IFERROR(VLOOKUP("buildings|NOx|Infant mortality", US_national_yearly!$D:$AM, 15, FALSE) / VLOOKUP("buildings|NOx|Infant mortality", US_national_yearly!$D:$AM, 10, FALSE), 1)</f>
        <v>3.8586441373723769E-7</v>
      </c>
      <c r="H3" s="7">
        <f>$B3 * IFERROR(VLOOKUP("buildings|NOx|Infant mortality", US_national_yearly!$D:$AM, 16, FALSE) / VLOOKUP("buildings|NOx|Infant mortality", US_national_yearly!$D:$AM, 10, FALSE), 1)</f>
        <v>1.903778498710594E-7</v>
      </c>
      <c r="I3" s="7">
        <f>$B3 * IFERROR(VLOOKUP("buildings|NOx|Infant mortality", US_national_yearly!$D:$AM, 17, FALSE) / VLOOKUP("buildings|NOx|Infant mortality", US_national_yearly!$D:$AM, 10, FALSE), 1)</f>
        <v>1.8903291443705069E-7</v>
      </c>
      <c r="J3" s="7">
        <f>$B3 * IFERROR(VLOOKUP("buildings|NOx|Infant mortality", US_national_yearly!$D:$AM, 18, FALSE) / VLOOKUP("buildings|NOx|Infant mortality", US_national_yearly!$D:$AM, 10, FALSE), 1)</f>
        <v>1.8768797900304194E-7</v>
      </c>
      <c r="K3" s="7">
        <f>$B3 * IFERROR(VLOOKUP("buildings|NOx|Infant mortality", US_national_yearly!$D:$AM, 19, FALSE) / VLOOKUP("buildings|NOx|Infant mortality", US_national_yearly!$D:$AM, 10, FALSE), 1)</f>
        <v>1.8634304356903325E-7</v>
      </c>
      <c r="L3" s="7">
        <f>$B3 * IFERROR(VLOOKUP("buildings|NOx|Infant mortality", US_national_yearly!$D:$AM, 20, FALSE) / VLOOKUP("buildings|NOx|Infant mortality", US_national_yearly!$D:$AM, 10, FALSE), 1)</f>
        <v>1.8499810813502454E-7</v>
      </c>
      <c r="M3" s="7">
        <f>$B3 * IFERROR(VLOOKUP("buildings|NOx|Infant mortality", US_national_yearly!$D:$AM, 21, FALSE) / VLOOKUP("buildings|NOx|Infant mortality", US_national_yearly!$D:$AM, 10, FALSE), 1)</f>
        <v>1.8365317270101579E-7</v>
      </c>
      <c r="N3" s="7">
        <f>$B3 * IFERROR(VLOOKUP("buildings|NOx|Infant mortality", US_national_yearly!$D:$AM, 22, FALSE) / VLOOKUP("buildings|NOx|Infant mortality", US_national_yearly!$D:$AM, 10, FALSE), 1)</f>
        <v>1.8276195929173479E-7</v>
      </c>
      <c r="O3" s="7">
        <f>$B3 * IFERROR(VLOOKUP("buildings|NOx|Infant mortality", US_national_yearly!$D:$AM, 23, FALSE) / VLOOKUP("buildings|NOx|Infant mortality", US_national_yearly!$D:$AM, 10, FALSE), 1)</f>
        <v>1.818707458824538E-7</v>
      </c>
      <c r="P3" s="7">
        <f>$B3 * IFERROR(VLOOKUP("buildings|NOx|Infant mortality", US_national_yearly!$D:$AM, 24, FALSE) / VLOOKUP("buildings|NOx|Infant mortality", US_national_yearly!$D:$AM, 10, FALSE), 1)</f>
        <v>1.8097953247317279E-7</v>
      </c>
      <c r="Q3" s="7">
        <f>$B3 * IFERROR(VLOOKUP("buildings|NOx|Infant mortality", US_national_yearly!$D:$AM, 25, FALSE) / VLOOKUP("buildings|NOx|Infant mortality", US_national_yearly!$D:$AM, 10, FALSE), 1)</f>
        <v>1.8008831906389184E-7</v>
      </c>
      <c r="R3" s="7">
        <f>$B3 * IFERROR(VLOOKUP("buildings|NOx|Infant mortality", US_national_yearly!$D:$AM, 26, FALSE) / VLOOKUP("buildings|NOx|Infant mortality", US_national_yearly!$D:$AM, 10, FALSE), 1)</f>
        <v>1.7919710565461083E-7</v>
      </c>
      <c r="S3" s="7">
        <f>$B3 * IFERROR(VLOOKUP("buildings|NOx|Infant mortality", US_national_yearly!$D:$AM, 27, FALSE) / VLOOKUP("buildings|NOx|Infant mortality", US_national_yearly!$D:$AM, 10, FALSE), 1)</f>
        <v>1.7812503284311171E-7</v>
      </c>
      <c r="T3" s="7">
        <f>$B3 * IFERROR(VLOOKUP("buildings|NOx|Infant mortality", US_national_yearly!$D:$AM, 28, FALSE) / VLOOKUP("buildings|NOx|Infant mortality", US_national_yearly!$D:$AM, 10, FALSE), 1)</f>
        <v>1.7705296003161262E-7</v>
      </c>
      <c r="U3" s="7">
        <f>$B3 * IFERROR(VLOOKUP("buildings|NOx|Infant mortality", US_national_yearly!$D:$AM, 29, FALSE) / VLOOKUP("buildings|NOx|Infant mortality", US_national_yearly!$D:$AM, 10, FALSE), 1)</f>
        <v>1.7598088722011351E-7</v>
      </c>
      <c r="V3" s="7">
        <f>$B3 * IFERROR(VLOOKUP("buildings|NOx|Infant mortality", US_national_yearly!$D:$AM, 30, FALSE) / VLOOKUP("buildings|NOx|Infant mortality", US_national_yearly!$D:$AM, 10, FALSE), 1)</f>
        <v>1.7490881440861439E-7</v>
      </c>
      <c r="W3" s="7">
        <f>$B3 * IFERROR(VLOOKUP("buildings|NOx|Infant mortality", US_national_yearly!$D:$AM, 31, FALSE) / VLOOKUP("buildings|NOx|Infant mortality", US_national_yearly!$D:$AM, 10, FALSE), 1)</f>
        <v>1.738367415971153E-7</v>
      </c>
      <c r="X3" s="7">
        <f>$B3 * IFERROR(VLOOKUP("buildings|NOx|Infant mortality", US_national_yearly!$D:$AM, 32, FALSE) / VLOOKUP("buildings|NOx|Infant mortality", US_national_yearly!$D:$AM, 10, FALSE), 1)</f>
        <v>1.7270239460166117E-7</v>
      </c>
      <c r="Y3" s="7">
        <f>$B3 * IFERROR(VLOOKUP("buildings|NOx|Infant mortality", US_national_yearly!$D:$AM, 33, FALSE) / VLOOKUP("buildings|NOx|Infant mortality", US_national_yearly!$D:$AM, 10, FALSE), 1)</f>
        <v>1.7156804760620706E-7</v>
      </c>
      <c r="Z3" s="7">
        <f>$B3 * IFERROR(VLOOKUP("buildings|NOx|Infant mortality", US_national_yearly!$D:$AM, 34, FALSE) / VLOOKUP("buildings|NOx|Infant mortality", US_national_yearly!$D:$AM, 10, FALSE), 1)</f>
        <v>1.7043370061075292E-7</v>
      </c>
      <c r="AA3" s="7">
        <f>$B3 * IFERROR(VLOOKUP("buildings|NOx|Infant mortality", US_national_yearly!$D:$AM, 35, FALSE) / VLOOKUP("buildings|NOx|Infant mortality", US_national_yearly!$D:$AM, 10, FALSE), 1)</f>
        <v>1.6929935361529878E-7</v>
      </c>
      <c r="AB3" s="7">
        <f>$B3 * IFERROR(VLOOKUP("buildings|NOx|Infant mortality", US_national_yearly!$D:$AM, 36, FALSE) / VLOOKUP("buildings|NOx|Infant mortality", US_national_yearly!$D:$AM, 10, FALSE), 1)</f>
        <v>1.6816500661984465E-7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8.9790968200999471E-4</v>
      </c>
      <c r="C6" s="7">
        <f>$B6 * IFERROR(VLOOKUP("buildings|NOx|Asthma symptoms cough", US_national_yearly!$D:$AM, 11, FALSE) / VLOOKUP("buildings|NOx|Asthma symptoms cough", US_national_yearly!$D:$AM, 10, FALSE), 1)</f>
        <v>9.1019782058229684E-4</v>
      </c>
      <c r="D6" s="7">
        <f>$B6 * IFERROR(VLOOKUP("buildings|NOx|Asthma symptoms cough", US_national_yearly!$D:$AM, 12, FALSE) / VLOOKUP("buildings|NOx|Asthma symptoms cough", US_national_yearly!$D:$AM, 10, FALSE), 1)</f>
        <v>9.2248595915459929E-4</v>
      </c>
      <c r="E6" s="7">
        <f>$B6 * IFERROR(VLOOKUP("buildings|NOx|Asthma symptoms cough", US_national_yearly!$D:$AM, 13, FALSE) / VLOOKUP("buildings|NOx|Asthma symptoms cough", US_national_yearly!$D:$AM, 10, FALSE), 1)</f>
        <v>9.3477409772690142E-4</v>
      </c>
      <c r="F6" s="7">
        <f>$B6 * IFERROR(VLOOKUP("buildings|NOx|Asthma symptoms cough", US_national_yearly!$D:$AM, 14, FALSE) / VLOOKUP("buildings|NOx|Asthma symptoms cough", US_national_yearly!$D:$AM, 10, FALSE), 1)</f>
        <v>9.4706223629920355E-4</v>
      </c>
      <c r="G6" s="7">
        <f>$B6 * IFERROR(VLOOKUP("buildings|NOx|Asthma symptoms cough", US_national_yearly!$D:$AM, 15, FALSE) / VLOOKUP("buildings|NOx|Asthma symptoms cough", US_national_yearly!$D:$AM, 10, FALSE), 1)</f>
        <v>9.5688276156514422E-4</v>
      </c>
      <c r="H6" s="7">
        <f>$B6 * IFERROR(VLOOKUP("buildings|NOx|Asthma symptoms cough", US_national_yearly!$D:$AM, 16, FALSE) / VLOOKUP("buildings|NOx|Asthma symptoms cough", US_national_yearly!$D:$AM, 10, FALSE), 1)</f>
        <v>9.6670328683108489E-4</v>
      </c>
      <c r="I6" s="7">
        <f>$B6 * IFERROR(VLOOKUP("buildings|NOx|Asthma symptoms cough", US_national_yearly!$D:$AM, 17, FALSE) / VLOOKUP("buildings|NOx|Asthma symptoms cough", US_national_yearly!$D:$AM, 10, FALSE), 1)</f>
        <v>9.7010188057782313E-4</v>
      </c>
      <c r="J6" s="7">
        <f>$B6 * IFERROR(VLOOKUP("buildings|NOx|Asthma symptoms cough", US_national_yearly!$D:$AM, 18, FALSE) / VLOOKUP("buildings|NOx|Asthma symptoms cough", US_national_yearly!$D:$AM, 10, FALSE), 1)</f>
        <v>9.7350047432456137E-4</v>
      </c>
      <c r="K6" s="7">
        <f>$B6 * IFERROR(VLOOKUP("buildings|NOx|Asthma symptoms cough", US_national_yearly!$D:$AM, 19, FALSE) / VLOOKUP("buildings|NOx|Asthma symptoms cough", US_national_yearly!$D:$AM, 10, FALSE), 1)</f>
        <v>9.7689906807129951E-4</v>
      </c>
      <c r="L6" s="7">
        <f>$B6 * IFERROR(VLOOKUP("buildings|NOx|Asthma symptoms cough", US_national_yearly!$D:$AM, 20, FALSE) / VLOOKUP("buildings|NOx|Asthma symptoms cough", US_national_yearly!$D:$AM, 10, FALSE), 1)</f>
        <v>9.8029766181803764E-4</v>
      </c>
      <c r="M6" s="7">
        <f>$B6 * IFERROR(VLOOKUP("buildings|NOx|Asthma symptoms cough", US_national_yearly!$D:$AM, 21, FALSE) / VLOOKUP("buildings|NOx|Asthma symptoms cough", US_national_yearly!$D:$AM, 10, FALSE), 1)</f>
        <v>9.8369625556477577E-4</v>
      </c>
      <c r="N6" s="7">
        <f>$B6 * IFERROR(VLOOKUP("buildings|NOx|Asthma symptoms cough", US_national_yearly!$D:$AM, 22, FALSE) / VLOOKUP("buildings|NOx|Asthma symptoms cough", US_national_yearly!$D:$AM, 10, FALSE), 1)</f>
        <v>9.8762609134598321E-4</v>
      </c>
      <c r="O6" s="7">
        <f>$B6 * IFERROR(VLOOKUP("buildings|NOx|Asthma symptoms cough", US_national_yearly!$D:$AM, 23, FALSE) / VLOOKUP("buildings|NOx|Asthma symptoms cough", US_national_yearly!$D:$AM, 10, FALSE), 1)</f>
        <v>9.9155592712719064E-4</v>
      </c>
      <c r="P6" s="7">
        <f>$B6 * IFERROR(VLOOKUP("buildings|NOx|Asthma symptoms cough", US_national_yearly!$D:$AM, 24, FALSE) / VLOOKUP("buildings|NOx|Asthma symptoms cough", US_national_yearly!$D:$AM, 10, FALSE), 1)</f>
        <v>9.9548576290839786E-4</v>
      </c>
      <c r="Q6" s="7">
        <f>$B6 * IFERROR(VLOOKUP("buildings|NOx|Asthma symptoms cough", US_national_yearly!$D:$AM, 25, FALSE) / VLOOKUP("buildings|NOx|Asthma symptoms cough", US_national_yearly!$D:$AM, 10, FALSE), 1)</f>
        <v>9.994155986896053E-4</v>
      </c>
      <c r="R6" s="7">
        <f>$B6 * IFERROR(VLOOKUP("buildings|NOx|Asthma symptoms cough", US_national_yearly!$D:$AM, 26, FALSE) / VLOOKUP("buildings|NOx|Asthma symptoms cough", US_national_yearly!$D:$AM, 10, FALSE), 1)</f>
        <v>1.0033454344708125E-3</v>
      </c>
      <c r="S6" s="7">
        <f>$B6 * IFERROR(VLOOKUP("buildings|NOx|Asthma symptoms cough", US_national_yearly!$D:$AM, 27, FALSE) / VLOOKUP("buildings|NOx|Asthma symptoms cough", US_national_yearly!$D:$AM, 10, FALSE), 1)</f>
        <v>1.008477883285045E-3</v>
      </c>
      <c r="T6" s="7">
        <f>$B6 * IFERROR(VLOOKUP("buildings|NOx|Asthma symptoms cough", US_national_yearly!$D:$AM, 28, FALSE) / VLOOKUP("buildings|NOx|Asthma symptoms cough", US_national_yearly!$D:$AM, 10, FALSE), 1)</f>
        <v>1.013610332099277E-3</v>
      </c>
      <c r="U6" s="7">
        <f>$B6 * IFERROR(VLOOKUP("buildings|NOx|Asthma symptoms cough", US_national_yearly!$D:$AM, 29, FALSE) / VLOOKUP("buildings|NOx|Asthma symptoms cough", US_national_yearly!$D:$AM, 10, FALSE), 1)</f>
        <v>1.0187427809135092E-3</v>
      </c>
      <c r="V6" s="7">
        <f>$B6 * IFERROR(VLOOKUP("buildings|NOx|Asthma symptoms cough", US_national_yearly!$D:$AM, 30, FALSE) / VLOOKUP("buildings|NOx|Asthma symptoms cough", US_national_yearly!$D:$AM, 10, FALSE), 1)</f>
        <v>1.0238752297277419E-3</v>
      </c>
      <c r="W6" s="7">
        <f>$B6 * IFERROR(VLOOKUP("buildings|NOx|Asthma symptoms cough", US_national_yearly!$D:$AM, 31, FALSE) / VLOOKUP("buildings|NOx|Asthma symptoms cough", US_national_yearly!$D:$AM, 10, FALSE), 1)</f>
        <v>1.0290076785419739E-3</v>
      </c>
      <c r="X6" s="7">
        <f>$B6 * IFERROR(VLOOKUP("buildings|NOx|Asthma symptoms cough", US_national_yearly!$D:$AM, 32, FALSE) / VLOOKUP("buildings|NOx|Asthma symptoms cough", US_national_yearly!$D:$AM, 10, FALSE), 1)</f>
        <v>1.0337764297290266E-3</v>
      </c>
      <c r="Y6" s="7">
        <f>$B6 * IFERROR(VLOOKUP("buildings|NOx|Asthma symptoms cough", US_national_yearly!$D:$AM, 33, FALSE) / VLOOKUP("buildings|NOx|Asthma symptoms cough", US_national_yearly!$D:$AM, 10, FALSE), 1)</f>
        <v>1.0385451809160795E-3</v>
      </c>
      <c r="Z6" s="7">
        <f>$B6 * IFERROR(VLOOKUP("buildings|NOx|Asthma symptoms cough", US_national_yearly!$D:$AM, 34, FALSE) / VLOOKUP("buildings|NOx|Asthma symptoms cough", US_national_yearly!$D:$AM, 10, FALSE), 1)</f>
        <v>1.0433139321031322E-3</v>
      </c>
      <c r="AA6" s="7">
        <f>$B6 * IFERROR(VLOOKUP("buildings|NOx|Asthma symptoms cough", US_national_yearly!$D:$AM, 35, FALSE) / VLOOKUP("buildings|NOx|Asthma symptoms cough", US_national_yearly!$D:$AM, 10, FALSE), 1)</f>
        <v>1.0480826832901852E-3</v>
      </c>
      <c r="AB6" s="7">
        <f>$B6 * IFERROR(VLOOKUP("buildings|NOx|Asthma symptoms cough", US_national_yearly!$D:$AM, 36, FALSE) / VLOOKUP("buildings|NOx|Asthma symptoms cough", US_national_yearly!$D:$AM, 10, FALSE), 1)</f>
        <v>1.0528514344772381E-3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1.2091645897818483E-3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1.2257123365143354E-3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1.2422600832468224E-3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1.2588078299793097E-3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1.2753555767117967E-3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1.2885803270355008E-3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1.3018050773592046E-3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1.3063817728100049E-3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1.310958468260805E-3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1.3155351637116055E-3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1.3201118591624058E-3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1.3246885546132061E-3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1.3299806439142088E-3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1.3352727332152114E-3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1.340564822516214E-3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1.3458569118172164E-3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1.3511490011182191E-3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1.3580605819342407E-3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1.3649721627502624E-3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1.3718837435662838E-3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1.3787953243823052E-3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1.3857069051983267E-3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1.3921287148243461E-3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1.3985505244503652E-3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1.4049723340763846E-3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1.4113941437024033E-3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1.4178159533284227E-3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1.8474024463766194E-3</v>
      </c>
      <c r="C8" s="7">
        <f>$B8 * IFERROR(VLOOKUP("buildings|NOx|Asthma symptoms wheeze", US_national_yearly!$D:$AM, 11, FALSE) / VLOOKUP("buildings|NOx|Asthma symptoms wheeze", US_national_yearly!$D:$AM, 10, FALSE), 1)</f>
        <v>1.8726846520635402E-3</v>
      </c>
      <c r="D8" s="7">
        <f>$B8 * IFERROR(VLOOKUP("buildings|NOx|Asthma symptoms wheeze", US_national_yearly!$D:$AM, 12, FALSE) / VLOOKUP("buildings|NOx|Asthma symptoms wheeze", US_national_yearly!$D:$AM, 10, FALSE), 1)</f>
        <v>1.897966857750461E-3</v>
      </c>
      <c r="E8" s="7">
        <f>$B8 * IFERROR(VLOOKUP("buildings|NOx|Asthma symptoms wheeze", US_national_yearly!$D:$AM, 13, FALSE) / VLOOKUP("buildings|NOx|Asthma symptoms wheeze", US_national_yearly!$D:$AM, 10, FALSE), 1)</f>
        <v>1.9232490634373814E-3</v>
      </c>
      <c r="F8" s="7">
        <f>$B8 * IFERROR(VLOOKUP("buildings|NOx|Asthma symptoms wheeze", US_national_yearly!$D:$AM, 14, FALSE) / VLOOKUP("buildings|NOx|Asthma symptoms wheeze", US_national_yearly!$D:$AM, 10, FALSE), 1)</f>
        <v>1.9485312691243026E-3</v>
      </c>
      <c r="G8" s="7">
        <f>$B8 * IFERROR(VLOOKUP("buildings|NOx|Asthma symptoms wheeze", US_national_yearly!$D:$AM, 15, FALSE) / VLOOKUP("buildings|NOx|Asthma symptoms wheeze", US_national_yearly!$D:$AM, 10, FALSE), 1)</f>
        <v>1.9687364888385109E-3</v>
      </c>
      <c r="H8" s="7">
        <f>$B8 * IFERROR(VLOOKUP("buildings|NOx|Asthma symptoms wheeze", US_national_yearly!$D:$AM, 16, FALSE) / VLOOKUP("buildings|NOx|Asthma symptoms wheeze", US_national_yearly!$D:$AM, 10, FALSE), 1)</f>
        <v>1.9889417085527184E-3</v>
      </c>
      <c r="I8" s="7">
        <f>$B8 * IFERROR(VLOOKUP("buildings|NOx|Asthma symptoms wheeze", US_national_yearly!$D:$AM, 17, FALSE) / VLOOKUP("buildings|NOx|Asthma symptoms wheeze", US_national_yearly!$D:$AM, 10, FALSE), 1)</f>
        <v>1.9959341383386205E-3</v>
      </c>
      <c r="J8" s="7">
        <f>$B8 * IFERROR(VLOOKUP("buildings|NOx|Asthma symptoms wheeze", US_national_yearly!$D:$AM, 18, FALSE) / VLOOKUP("buildings|NOx|Asthma symptoms wheeze", US_national_yearly!$D:$AM, 10, FALSE), 1)</f>
        <v>2.0029265681245222E-3</v>
      </c>
      <c r="K8" s="7">
        <f>$B8 * IFERROR(VLOOKUP("buildings|NOx|Asthma symptoms wheeze", US_national_yearly!$D:$AM, 19, FALSE) / VLOOKUP("buildings|NOx|Asthma symptoms wheeze", US_national_yearly!$D:$AM, 10, FALSE), 1)</f>
        <v>2.0099189979104239E-3</v>
      </c>
      <c r="L8" s="7">
        <f>$B8 * IFERROR(VLOOKUP("buildings|NOx|Asthma symptoms wheeze", US_national_yearly!$D:$AM, 20, FALSE) / VLOOKUP("buildings|NOx|Asthma symptoms wheeze", US_national_yearly!$D:$AM, 10, FALSE), 1)</f>
        <v>2.016911427696326E-3</v>
      </c>
      <c r="M8" s="7">
        <f>$B8 * IFERROR(VLOOKUP("buildings|NOx|Asthma symptoms wheeze", US_national_yearly!$D:$AM, 21, FALSE) / VLOOKUP("buildings|NOx|Asthma symptoms wheeze", US_national_yearly!$D:$AM, 10, FALSE), 1)</f>
        <v>2.0239038574822281E-3</v>
      </c>
      <c r="N8" s="7">
        <f>$B8 * IFERROR(VLOOKUP("buildings|NOx|Asthma symptoms wheeze", US_national_yearly!$D:$AM, 22, FALSE) / VLOOKUP("buildings|NOx|Asthma symptoms wheeze", US_national_yearly!$D:$AM, 10, FALSE), 1)</f>
        <v>2.0319892901108283E-3</v>
      </c>
      <c r="O8" s="7">
        <f>$B8 * IFERROR(VLOOKUP("buildings|NOx|Asthma symptoms wheeze", US_national_yearly!$D:$AM, 23, FALSE) / VLOOKUP("buildings|NOx|Asthma symptoms wheeze", US_national_yearly!$D:$AM, 10, FALSE), 1)</f>
        <v>2.0400747227394289E-3</v>
      </c>
      <c r="P8" s="7">
        <f>$B8 * IFERROR(VLOOKUP("buildings|NOx|Asthma symptoms wheeze", US_national_yearly!$D:$AM, 24, FALSE) / VLOOKUP("buildings|NOx|Asthma symptoms wheeze", US_national_yearly!$D:$AM, 10, FALSE), 1)</f>
        <v>2.048160155368029E-3</v>
      </c>
      <c r="Q8" s="7">
        <f>$B8 * IFERROR(VLOOKUP("buildings|NOx|Asthma symptoms wheeze", US_national_yearly!$D:$AM, 25, FALSE) / VLOOKUP("buildings|NOx|Asthma symptoms wheeze", US_national_yearly!$D:$AM, 10, FALSE), 1)</f>
        <v>2.0562455879966296E-3</v>
      </c>
      <c r="R8" s="7">
        <f>$B8 * IFERROR(VLOOKUP("buildings|NOx|Asthma symptoms wheeze", US_national_yearly!$D:$AM, 26, FALSE) / VLOOKUP("buildings|NOx|Asthma symptoms wheeze", US_national_yearly!$D:$AM, 10, FALSE), 1)</f>
        <v>2.0643310206252298E-3</v>
      </c>
      <c r="S8" s="7">
        <f>$B8 * IFERROR(VLOOKUP("buildings|NOx|Asthma symptoms wheeze", US_national_yearly!$D:$AM, 27, FALSE) / VLOOKUP("buildings|NOx|Asthma symptoms wheeze", US_national_yearly!$D:$AM, 10, FALSE), 1)</f>
        <v>2.0748907669931212E-3</v>
      </c>
      <c r="T8" s="7">
        <f>$B8 * IFERROR(VLOOKUP("buildings|NOx|Asthma symptoms wheeze", US_national_yearly!$D:$AM, 28, FALSE) / VLOOKUP("buildings|NOx|Asthma symptoms wheeze", US_national_yearly!$D:$AM, 10, FALSE), 1)</f>
        <v>2.0854505133610125E-3</v>
      </c>
      <c r="U8" s="7">
        <f>$B8 * IFERROR(VLOOKUP("buildings|NOx|Asthma symptoms wheeze", US_national_yearly!$D:$AM, 29, FALSE) / VLOOKUP("buildings|NOx|Asthma symptoms wheeze", US_national_yearly!$D:$AM, 10, FALSE), 1)</f>
        <v>2.0960102597289035E-3</v>
      </c>
      <c r="V8" s="7">
        <f>$B8 * IFERROR(VLOOKUP("buildings|NOx|Asthma symptoms wheeze", US_national_yearly!$D:$AM, 30, FALSE) / VLOOKUP("buildings|NOx|Asthma symptoms wheeze", US_national_yearly!$D:$AM, 10, FALSE), 1)</f>
        <v>2.1065700060967948E-3</v>
      </c>
      <c r="W8" s="7">
        <f>$B8 * IFERROR(VLOOKUP("buildings|NOx|Asthma symptoms wheeze", US_national_yearly!$D:$AM, 31, FALSE) / VLOOKUP("buildings|NOx|Asthma symptoms wheeze", US_national_yearly!$D:$AM, 10, FALSE), 1)</f>
        <v>2.1171297524646862E-3</v>
      </c>
      <c r="X8" s="7">
        <f>$B8 * IFERROR(VLOOKUP("buildings|NOx|Asthma symptoms wheeze", US_national_yearly!$D:$AM, 32, FALSE) / VLOOKUP("buildings|NOx|Asthma symptoms wheeze", US_national_yearly!$D:$AM, 10, FALSE), 1)</f>
        <v>2.1269412098901962E-3</v>
      </c>
      <c r="Y8" s="7">
        <f>$B8 * IFERROR(VLOOKUP("buildings|NOx|Asthma symptoms wheeze", US_national_yearly!$D:$AM, 33, FALSE) / VLOOKUP("buildings|NOx|Asthma symptoms wheeze", US_national_yearly!$D:$AM, 10, FALSE), 1)</f>
        <v>2.1367526673157057E-3</v>
      </c>
      <c r="Z8" s="7">
        <f>$B8 * IFERROR(VLOOKUP("buildings|NOx|Asthma symptoms wheeze", US_national_yearly!$D:$AM, 34, FALSE) / VLOOKUP("buildings|NOx|Asthma symptoms wheeze", US_national_yearly!$D:$AM, 10, FALSE), 1)</f>
        <v>2.1465641247412157E-3</v>
      </c>
      <c r="AA8" s="7">
        <f>$B8 * IFERROR(VLOOKUP("buildings|NOx|Asthma symptoms wheeze", US_national_yearly!$D:$AM, 35, FALSE) / VLOOKUP("buildings|NOx|Asthma symptoms wheeze", US_national_yearly!$D:$AM, 10, FALSE), 1)</f>
        <v>2.1563755821667253E-3</v>
      </c>
      <c r="AB8" s="7">
        <f>$B8 * IFERROR(VLOOKUP("buildings|NOx|Asthma symptoms wheeze", US_national_yearly!$D:$AM, 36, FALSE) / VLOOKUP("buildings|NOx|Asthma symptoms wheeze", US_national_yearly!$D:$AM, 10, FALSE), 1)</f>
        <v>2.1661870395922357E-3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3.3298443521620992E-5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3.4130383505322456E-5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3.4962323489023913E-5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3.5794263472725377E-5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3.6626203456426834E-5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3.7421563396598552E-5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3.821692333677025E-5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3.8892562867054804E-5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3.9568202397339358E-5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4.0243841927623919E-5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4.0919481457908473E-5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4.1595120988193027E-5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4.2046782296679554E-5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4.2498443605166088E-5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4.2950104913652615E-5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4.3401766222139156E-5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4.3853427530625677E-5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4.4095594646277501E-5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4.4337761761929332E-5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4.4579928877581163E-5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4.4822095993232987E-5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4.5064263108884812E-5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4.5230037926101874E-5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4.5395812743318929E-5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4.5561587560535998E-5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4.5727362377753053E-5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4.5893137194970116E-5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1.9687264580630867E-4</v>
      </c>
      <c r="C13" s="7">
        <f>$B13 * IFERROR(VLOOKUP("buildings|NOx|Non-fatal heart attacks", US_national_yearly!$D:$AM, 11, FALSE) / VLOOKUP("buildings|NOx|Non-fatal heart attacks", US_national_yearly!$D:$AM, 10, FALSE), 1)</f>
        <v>2.0250477080646705E-4</v>
      </c>
      <c r="D13" s="7">
        <f>$B13 * IFERROR(VLOOKUP("buildings|NOx|Non-fatal heart attacks", US_national_yearly!$D:$AM, 12, FALSE) / VLOOKUP("buildings|NOx|Non-fatal heart attacks", US_national_yearly!$D:$AM, 10, FALSE), 1)</f>
        <v>2.0813689580662553E-4</v>
      </c>
      <c r="E13" s="7">
        <f>$B13 * IFERROR(VLOOKUP("buildings|NOx|Non-fatal heart attacks", US_national_yearly!$D:$AM, 13, FALSE) / VLOOKUP("buildings|NOx|Non-fatal heart attacks", US_national_yearly!$D:$AM, 10, FALSE), 1)</f>
        <v>2.1376902080678391E-4</v>
      </c>
      <c r="F13" s="7">
        <f>$B13 * IFERROR(VLOOKUP("buildings|NOx|Non-fatal heart attacks", US_national_yearly!$D:$AM, 14, FALSE) / VLOOKUP("buildings|NOx|Non-fatal heart attacks", US_national_yearly!$D:$AM, 10, FALSE), 1)</f>
        <v>2.1940114580694232E-4</v>
      </c>
      <c r="G13" s="7">
        <f>$B13 * IFERROR(VLOOKUP("buildings|NOx|Non-fatal heart attacks", US_national_yearly!$D:$AM, 15, FALSE) / VLOOKUP("buildings|NOx|Non-fatal heart attacks", US_national_yearly!$D:$AM, 10, FALSE), 1)</f>
        <v>2.2466547410127869E-4</v>
      </c>
      <c r="H13" s="7">
        <f>$B13 * IFERROR(VLOOKUP("buildings|NOx|Non-fatal heart attacks", US_national_yearly!$D:$AM, 16, FALSE) / VLOOKUP("buildings|NOx|Non-fatal heart attacks", US_national_yearly!$D:$AM, 10, FALSE), 1)</f>
        <v>2.2992980239561512E-4</v>
      </c>
      <c r="I13" s="7">
        <f>$B13 * IFERROR(VLOOKUP("buildings|NOx|Non-fatal heart attacks", US_national_yearly!$D:$AM, 17, FALSE) / VLOOKUP("buildings|NOx|Non-fatal heart attacks", US_national_yearly!$D:$AM, 10, FALSE), 1)</f>
        <v>2.3408297899597905E-4</v>
      </c>
      <c r="J13" s="7">
        <f>$B13 * IFERROR(VLOOKUP("buildings|NOx|Non-fatal heart attacks", US_national_yearly!$D:$AM, 18, FALSE) / VLOOKUP("buildings|NOx|Non-fatal heart attacks", US_national_yearly!$D:$AM, 10, FALSE), 1)</f>
        <v>2.3823615559634298E-4</v>
      </c>
      <c r="K13" s="7">
        <f>$B13 * IFERROR(VLOOKUP("buildings|NOx|Non-fatal heart attacks", US_national_yearly!$D:$AM, 19, FALSE) / VLOOKUP("buildings|NOx|Non-fatal heart attacks", US_national_yearly!$D:$AM, 10, FALSE), 1)</f>
        <v>2.4238933219670699E-4</v>
      </c>
      <c r="L13" s="7">
        <f>$B13 * IFERROR(VLOOKUP("buildings|NOx|Non-fatal heart attacks", US_national_yearly!$D:$AM, 20, FALSE) / VLOOKUP("buildings|NOx|Non-fatal heart attacks", US_national_yearly!$D:$AM, 10, FALSE), 1)</f>
        <v>2.4654250879707081E-4</v>
      </c>
      <c r="M13" s="7">
        <f>$B13 * IFERROR(VLOOKUP("buildings|NOx|Non-fatal heart attacks", US_national_yearly!$D:$AM, 21, FALSE) / VLOOKUP("buildings|NOx|Non-fatal heart attacks", US_national_yearly!$D:$AM, 10, FALSE), 1)</f>
        <v>2.5069568539743482E-4</v>
      </c>
      <c r="N13" s="7">
        <f>$B13 * IFERROR(VLOOKUP("buildings|NOx|Non-fatal heart attacks", US_national_yearly!$D:$AM, 22, FALSE) / VLOOKUP("buildings|NOx|Non-fatal heart attacks", US_national_yearly!$D:$AM, 10, FALSE), 1)</f>
        <v>2.5319519297505044E-4</v>
      </c>
      <c r="O13" s="7">
        <f>$B13 * IFERROR(VLOOKUP("buildings|NOx|Non-fatal heart attacks", US_national_yearly!$D:$AM, 23, FALSE) / VLOOKUP("buildings|NOx|Non-fatal heart attacks", US_national_yearly!$D:$AM, 10, FALSE), 1)</f>
        <v>2.5569470055266606E-4</v>
      </c>
      <c r="P13" s="7">
        <f>$B13 * IFERROR(VLOOKUP("buildings|NOx|Non-fatal heart attacks", US_national_yearly!$D:$AM, 24, FALSE) / VLOOKUP("buildings|NOx|Non-fatal heart attacks", US_national_yearly!$D:$AM, 10, FALSE), 1)</f>
        <v>2.5819420813028173E-4</v>
      </c>
      <c r="Q13" s="7">
        <f>$B13 * IFERROR(VLOOKUP("buildings|NOx|Non-fatal heart attacks", US_national_yearly!$D:$AM, 25, FALSE) / VLOOKUP("buildings|NOx|Non-fatal heart attacks", US_national_yearly!$D:$AM, 10, FALSE), 1)</f>
        <v>2.6069371570789735E-4</v>
      </c>
      <c r="R13" s="7">
        <f>$B13 * IFERROR(VLOOKUP("buildings|NOx|Non-fatal heart attacks", US_national_yearly!$D:$AM, 26, FALSE) / VLOOKUP("buildings|NOx|Non-fatal heart attacks", US_national_yearly!$D:$AM, 10, FALSE), 1)</f>
        <v>2.6319322328551296E-4</v>
      </c>
      <c r="S13" s="7">
        <f>$B13 * IFERROR(VLOOKUP("buildings|NOx|Non-fatal heart attacks", US_national_yearly!$D:$AM, 27, FALSE) / VLOOKUP("buildings|NOx|Non-fatal heart attacks", US_national_yearly!$D:$AM, 10, FALSE), 1)</f>
        <v>2.6432909758484954E-4</v>
      </c>
      <c r="T13" s="7">
        <f>$B13 * IFERROR(VLOOKUP("buildings|NOx|Non-fatal heart attacks", US_national_yearly!$D:$AM, 28, FALSE) / VLOOKUP("buildings|NOx|Non-fatal heart attacks", US_national_yearly!$D:$AM, 10, FALSE), 1)</f>
        <v>2.6546497188418623E-4</v>
      </c>
      <c r="U13" s="7">
        <f>$B13 * IFERROR(VLOOKUP("buildings|NOx|Non-fatal heart attacks", US_national_yearly!$D:$AM, 29, FALSE) / VLOOKUP("buildings|NOx|Non-fatal heart attacks", US_national_yearly!$D:$AM, 10, FALSE), 1)</f>
        <v>2.666008461835228E-4</v>
      </c>
      <c r="V13" s="7">
        <f>$B13 * IFERROR(VLOOKUP("buildings|NOx|Non-fatal heart attacks", US_national_yearly!$D:$AM, 30, FALSE) / VLOOKUP("buildings|NOx|Non-fatal heart attacks", US_national_yearly!$D:$AM, 10, FALSE), 1)</f>
        <v>2.6773672048285938E-4</v>
      </c>
      <c r="W13" s="7">
        <f>$B13 * IFERROR(VLOOKUP("buildings|NOx|Non-fatal heart attacks", US_national_yearly!$D:$AM, 31, FALSE) / VLOOKUP("buildings|NOx|Non-fatal heart attacks", US_national_yearly!$D:$AM, 10, FALSE), 1)</f>
        <v>2.6887259478219601E-4</v>
      </c>
      <c r="X13" s="7">
        <f>$B13 * IFERROR(VLOOKUP("buildings|NOx|Non-fatal heart attacks", US_national_yearly!$D:$AM, 32, FALSE) / VLOOKUP("buildings|NOx|Non-fatal heart attacks", US_national_yearly!$D:$AM, 10, FALSE), 1)</f>
        <v>2.6963240219250565E-4</v>
      </c>
      <c r="Y13" s="7">
        <f>$B13 * IFERROR(VLOOKUP("buildings|NOx|Non-fatal heart attacks", US_national_yearly!$D:$AM, 33, FALSE) / VLOOKUP("buildings|NOx|Non-fatal heart attacks", US_national_yearly!$D:$AM, 10, FALSE), 1)</f>
        <v>2.703922096028153E-4</v>
      </c>
      <c r="Z13" s="7">
        <f>$B13 * IFERROR(VLOOKUP("buildings|NOx|Non-fatal heart attacks", US_national_yearly!$D:$AM, 34, FALSE) / VLOOKUP("buildings|NOx|Non-fatal heart attacks", US_national_yearly!$D:$AM, 10, FALSE), 1)</f>
        <v>2.7115201701312499E-4</v>
      </c>
      <c r="AA13" s="7">
        <f>$B13 * IFERROR(VLOOKUP("buildings|NOx|Non-fatal heart attacks", US_national_yearly!$D:$AM, 35, FALSE) / VLOOKUP("buildings|NOx|Non-fatal heart attacks", US_national_yearly!$D:$AM, 10, FALSE), 1)</f>
        <v>2.7191182442343464E-4</v>
      </c>
      <c r="AB13" s="7">
        <f>$B13 * IFERROR(VLOOKUP("buildings|NOx|Non-fatal heart attacks", US_national_yearly!$D:$AM, 36, FALSE) / VLOOKUP("buildings|NOx|Non-fatal heart attacks", US_national_yearly!$D:$AM, 10, FALSE), 1)</f>
        <v>2.7267163183374428E-4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0.13238603970289636</v>
      </c>
      <c r="C14" s="7">
        <f>$B14 * IFERROR(VLOOKUP("buildings|NOx|Minor restricted activity days", US_national_yearly!$D:$AM, 11, FALSE) / VLOOKUP("buildings|NOx|Minor restricted activity days", US_national_yearly!$D:$AM, 10, FALSE), 1)</f>
        <v>0.13259147152815573</v>
      </c>
      <c r="D14" s="7">
        <f>$B14 * IFERROR(VLOOKUP("buildings|NOx|Minor restricted activity days", US_national_yearly!$D:$AM, 12, FALSE) / VLOOKUP("buildings|NOx|Minor restricted activity days", US_national_yearly!$D:$AM, 10, FALSE), 1)</f>
        <v>0.1327969033534151</v>
      </c>
      <c r="E14" s="7">
        <f>$B14 * IFERROR(VLOOKUP("buildings|NOx|Minor restricted activity days", US_national_yearly!$D:$AM, 13, FALSE) / VLOOKUP("buildings|NOx|Minor restricted activity days", US_national_yearly!$D:$AM, 10, FALSE), 1)</f>
        <v>0.13300233517867446</v>
      </c>
      <c r="F14" s="7">
        <f>$B14 * IFERROR(VLOOKUP("buildings|NOx|Minor restricted activity days", US_national_yearly!$D:$AM, 14, FALSE) / VLOOKUP("buildings|NOx|Minor restricted activity days", US_national_yearly!$D:$AM, 10, FALSE), 1)</f>
        <v>0.13320776700393383</v>
      </c>
      <c r="G14" s="7">
        <f>$B14 * IFERROR(VLOOKUP("buildings|NOx|Minor restricted activity days", US_national_yearly!$D:$AM, 15, FALSE) / VLOOKUP("buildings|NOx|Minor restricted activity days", US_national_yearly!$D:$AM, 10, FALSE), 1)</f>
        <v>0.13357682563450177</v>
      </c>
      <c r="H14" s="7">
        <f>$B14 * IFERROR(VLOOKUP("buildings|NOx|Minor restricted activity days", US_national_yearly!$D:$AM, 16, FALSE) / VLOOKUP("buildings|NOx|Minor restricted activity days", US_national_yearly!$D:$AM, 10, FALSE), 1)</f>
        <v>0.1339458842650697</v>
      </c>
      <c r="I14" s="7">
        <f>$B14 * IFERROR(VLOOKUP("buildings|NOx|Minor restricted activity days", US_national_yearly!$D:$AM, 17, FALSE) / VLOOKUP("buildings|NOx|Minor restricted activity days", US_national_yearly!$D:$AM, 10, FALSE), 1)</f>
        <v>0.1346654433017184</v>
      </c>
      <c r="J14" s="7">
        <f>$B14 * IFERROR(VLOOKUP("buildings|NOx|Minor restricted activity days", US_national_yearly!$D:$AM, 18, FALSE) / VLOOKUP("buildings|NOx|Minor restricted activity days", US_national_yearly!$D:$AM, 10, FALSE), 1)</f>
        <v>0.13538500233836706</v>
      </c>
      <c r="K14" s="7">
        <f>$B14 * IFERROR(VLOOKUP("buildings|NOx|Minor restricted activity days", US_national_yearly!$D:$AM, 19, FALSE) / VLOOKUP("buildings|NOx|Minor restricted activity days", US_national_yearly!$D:$AM, 10, FALSE), 1)</f>
        <v>0.13610456137501575</v>
      </c>
      <c r="L14" s="7">
        <f>$B14 * IFERROR(VLOOKUP("buildings|NOx|Minor restricted activity days", US_national_yearly!$D:$AM, 20, FALSE) / VLOOKUP("buildings|NOx|Minor restricted activity days", US_national_yearly!$D:$AM, 10, FALSE), 1)</f>
        <v>0.13682412041166442</v>
      </c>
      <c r="M14" s="7">
        <f>$B14 * IFERROR(VLOOKUP("buildings|NOx|Minor restricted activity days", US_national_yearly!$D:$AM, 21, FALSE) / VLOOKUP("buildings|NOx|Minor restricted activity days", US_national_yearly!$D:$AM, 10, FALSE), 1)</f>
        <v>0.13754367944831308</v>
      </c>
      <c r="N14" s="7">
        <f>$B14 * IFERROR(VLOOKUP("buildings|NOx|Minor restricted activity days", US_national_yearly!$D:$AM, 22, FALSE) / VLOOKUP("buildings|NOx|Minor restricted activity days", US_national_yearly!$D:$AM, 10, FALSE), 1)</f>
        <v>0.13857308656772821</v>
      </c>
      <c r="O14" s="7">
        <f>$B14 * IFERROR(VLOOKUP("buildings|NOx|Minor restricted activity days", US_national_yearly!$D:$AM, 23, FALSE) / VLOOKUP("buildings|NOx|Minor restricted activity days", US_national_yearly!$D:$AM, 10, FALSE), 1)</f>
        <v>0.13960249368714331</v>
      </c>
      <c r="P14" s="7">
        <f>$B14 * IFERROR(VLOOKUP("buildings|NOx|Minor restricted activity days", US_national_yearly!$D:$AM, 24, FALSE) / VLOOKUP("buildings|NOx|Minor restricted activity days", US_national_yearly!$D:$AM, 10, FALSE), 1)</f>
        <v>0.14063190080655844</v>
      </c>
      <c r="Q14" s="7">
        <f>$B14 * IFERROR(VLOOKUP("buildings|NOx|Minor restricted activity days", US_national_yearly!$D:$AM, 25, FALSE) / VLOOKUP("buildings|NOx|Minor restricted activity days", US_national_yearly!$D:$AM, 10, FALSE), 1)</f>
        <v>0.14166130792597353</v>
      </c>
      <c r="R14" s="7">
        <f>$B14 * IFERROR(VLOOKUP("buildings|NOx|Minor restricted activity days", US_national_yearly!$D:$AM, 26, FALSE) / VLOOKUP("buildings|NOx|Minor restricted activity days", US_national_yearly!$D:$AM, 10, FALSE), 1)</f>
        <v>0.14269071504538861</v>
      </c>
      <c r="S14" s="7">
        <f>$B14 * IFERROR(VLOOKUP("buildings|NOx|Minor restricted activity days", US_national_yearly!$D:$AM, 27, FALSE) / VLOOKUP("buildings|NOx|Minor restricted activity days", US_national_yearly!$D:$AM, 10, FALSE), 1)</f>
        <v>0.14371982582644383</v>
      </c>
      <c r="T14" s="7">
        <f>$B14 * IFERROR(VLOOKUP("buildings|NOx|Minor restricted activity days", US_national_yearly!$D:$AM, 28, FALSE) / VLOOKUP("buildings|NOx|Minor restricted activity days", US_national_yearly!$D:$AM, 10, FALSE), 1)</f>
        <v>0.14474893660749902</v>
      </c>
      <c r="U14" s="7">
        <f>$B14 * IFERROR(VLOOKUP("buildings|NOx|Minor restricted activity days", US_national_yearly!$D:$AM, 29, FALSE) / VLOOKUP("buildings|NOx|Minor restricted activity days", US_national_yearly!$D:$AM, 10, FALSE), 1)</f>
        <v>0.14577804738855424</v>
      </c>
      <c r="V14" s="7">
        <f>$B14 * IFERROR(VLOOKUP("buildings|NOx|Minor restricted activity days", US_national_yearly!$D:$AM, 30, FALSE) / VLOOKUP("buildings|NOx|Minor restricted activity days", US_national_yearly!$D:$AM, 10, FALSE), 1)</f>
        <v>0.14680715816960943</v>
      </c>
      <c r="W14" s="7">
        <f>$B14 * IFERROR(VLOOKUP("buildings|NOx|Minor restricted activity days", US_national_yearly!$D:$AM, 31, FALSE) / VLOOKUP("buildings|NOx|Minor restricted activity days", US_national_yearly!$D:$AM, 10, FALSE), 1)</f>
        <v>0.14783626895066462</v>
      </c>
      <c r="X14" s="7">
        <f>$B14 * IFERROR(VLOOKUP("buildings|NOx|Minor restricted activity days", US_national_yearly!$D:$AM, 32, FALSE) / VLOOKUP("buildings|NOx|Minor restricted activity days", US_national_yearly!$D:$AM, 10, FALSE), 1)</f>
        <v>0.14870663021086752</v>
      </c>
      <c r="Y14" s="7">
        <f>$B14 * IFERROR(VLOOKUP("buildings|NOx|Minor restricted activity days", US_national_yearly!$D:$AM, 33, FALSE) / VLOOKUP("buildings|NOx|Minor restricted activity days", US_national_yearly!$D:$AM, 10, FALSE), 1)</f>
        <v>0.14957699147107045</v>
      </c>
      <c r="Z14" s="7">
        <f>$B14 * IFERROR(VLOOKUP("buildings|NOx|Minor restricted activity days", US_national_yearly!$D:$AM, 34, FALSE) / VLOOKUP("buildings|NOx|Minor restricted activity days", US_national_yearly!$D:$AM, 10, FALSE), 1)</f>
        <v>0.15044735273127333</v>
      </c>
      <c r="AA14" s="7">
        <f>$B14 * IFERROR(VLOOKUP("buildings|NOx|Minor restricted activity days", US_national_yearly!$D:$AM, 35, FALSE) / VLOOKUP("buildings|NOx|Minor restricted activity days", US_national_yearly!$D:$AM, 10, FALSE), 1)</f>
        <v>0.15131771399147625</v>
      </c>
      <c r="AB14" s="7">
        <f>$B14 * IFERROR(VLOOKUP("buildings|NOx|Minor restricted activity days", US_national_yearly!$D:$AM, 36, FALSE) / VLOOKUP("buildings|NOx|Minor restricted activity days", US_national_yearly!$D:$AM, 10, FALSE), 1)</f>
        <v>0.15218807525167913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2.2157711315087363E-2</v>
      </c>
      <c r="C15" s="7">
        <f>$B15 * IFERROR(VLOOKUP("buildings|NOx|Work loss days", US_national_yearly!$D:$AM, 11, FALSE) / VLOOKUP("buildings|NOx|Work loss days", US_national_yearly!$D:$AM, 10, FALSE), 1)</f>
        <v>2.2207383033423435E-2</v>
      </c>
      <c r="D15" s="7">
        <f>$B15 * IFERROR(VLOOKUP("buildings|NOx|Work loss days", US_national_yearly!$D:$AM, 12, FALSE) / VLOOKUP("buildings|NOx|Work loss days", US_national_yearly!$D:$AM, 10, FALSE), 1)</f>
        <v>2.2257054751759504E-2</v>
      </c>
      <c r="E15" s="7">
        <f>$B15 * IFERROR(VLOOKUP("buildings|NOx|Work loss days", US_national_yearly!$D:$AM, 13, FALSE) / VLOOKUP("buildings|NOx|Work loss days", US_national_yearly!$D:$AM, 10, FALSE), 1)</f>
        <v>2.2306726470095573E-2</v>
      </c>
      <c r="F15" s="7">
        <f>$B15 * IFERROR(VLOOKUP("buildings|NOx|Work loss days", US_national_yearly!$D:$AM, 14, FALSE) / VLOOKUP("buildings|NOx|Work loss days", US_national_yearly!$D:$AM, 10, FALSE), 1)</f>
        <v>2.2356398188431645E-2</v>
      </c>
      <c r="G15" s="7">
        <f>$B15 * IFERROR(VLOOKUP("buildings|NOx|Work loss days", US_national_yearly!$D:$AM, 15, FALSE) / VLOOKUP("buildings|NOx|Work loss days", US_national_yearly!$D:$AM, 10, FALSE), 1)</f>
        <v>2.2428750615137199E-2</v>
      </c>
      <c r="H15" s="7">
        <f>$B15 * IFERROR(VLOOKUP("buildings|NOx|Work loss days", US_national_yearly!$D:$AM, 16, FALSE) / VLOOKUP("buildings|NOx|Work loss days", US_national_yearly!$D:$AM, 10, FALSE), 1)</f>
        <v>2.2501103041842756E-2</v>
      </c>
      <c r="I15" s="7">
        <f>$B15 * IFERROR(VLOOKUP("buildings|NOx|Work loss days", US_national_yearly!$D:$AM, 17, FALSE) / VLOOKUP("buildings|NOx|Work loss days", US_national_yearly!$D:$AM, 10, FALSE), 1)</f>
        <v>2.2618118724148865E-2</v>
      </c>
      <c r="J15" s="7">
        <f>$B15 * IFERROR(VLOOKUP("buildings|NOx|Work loss days", US_national_yearly!$D:$AM, 18, FALSE) / VLOOKUP("buildings|NOx|Work loss days", US_national_yearly!$D:$AM, 10, FALSE), 1)</f>
        <v>2.2735134406454971E-2</v>
      </c>
      <c r="K15" s="7">
        <f>$B15 * IFERROR(VLOOKUP("buildings|NOx|Work loss days", US_national_yearly!$D:$AM, 19, FALSE) / VLOOKUP("buildings|NOx|Work loss days", US_national_yearly!$D:$AM, 10, FALSE), 1)</f>
        <v>2.285215008876108E-2</v>
      </c>
      <c r="L15" s="7">
        <f>$B15 * IFERROR(VLOOKUP("buildings|NOx|Work loss days", US_national_yearly!$D:$AM, 20, FALSE) / VLOOKUP("buildings|NOx|Work loss days", US_national_yearly!$D:$AM, 10, FALSE), 1)</f>
        <v>2.2969165771067192E-2</v>
      </c>
      <c r="M15" s="7">
        <f>$B15 * IFERROR(VLOOKUP("buildings|NOx|Work loss days", US_national_yearly!$D:$AM, 21, FALSE) / VLOOKUP("buildings|NOx|Work loss days", US_national_yearly!$D:$AM, 10, FALSE), 1)</f>
        <v>2.3086181453373298E-2</v>
      </c>
      <c r="N15" s="7">
        <f>$B15 * IFERROR(VLOOKUP("buildings|NOx|Work loss days", US_national_yearly!$D:$AM, 22, FALSE) / VLOOKUP("buildings|NOx|Work loss days", US_national_yearly!$D:$AM, 10, FALSE), 1)</f>
        <v>2.3238419049069019E-2</v>
      </c>
      <c r="O15" s="7">
        <f>$B15 * IFERROR(VLOOKUP("buildings|NOx|Work loss days", US_national_yearly!$D:$AM, 23, FALSE) / VLOOKUP("buildings|NOx|Work loss days", US_national_yearly!$D:$AM, 10, FALSE), 1)</f>
        <v>2.3390656644764744E-2</v>
      </c>
      <c r="P15" s="7">
        <f>$B15 * IFERROR(VLOOKUP("buildings|NOx|Work loss days", US_national_yearly!$D:$AM, 24, FALSE) / VLOOKUP("buildings|NOx|Work loss days", US_national_yearly!$D:$AM, 10, FALSE), 1)</f>
        <v>2.3542894240460469E-2</v>
      </c>
      <c r="Q15" s="7">
        <f>$B15 * IFERROR(VLOOKUP("buildings|NOx|Work loss days", US_national_yearly!$D:$AM, 25, FALSE) / VLOOKUP("buildings|NOx|Work loss days", US_national_yearly!$D:$AM, 10, FALSE), 1)</f>
        <v>2.3695131836156201E-2</v>
      </c>
      <c r="R15" s="7">
        <f>$B15 * IFERROR(VLOOKUP("buildings|NOx|Work loss days", US_national_yearly!$D:$AM, 26, FALSE) / VLOOKUP("buildings|NOx|Work loss days", US_national_yearly!$D:$AM, 10, FALSE), 1)</f>
        <v>2.3847369431851922E-2</v>
      </c>
      <c r="S15" s="7">
        <f>$B15 * IFERROR(VLOOKUP("buildings|NOx|Work loss days", US_national_yearly!$D:$AM, 27, FALSE) / VLOOKUP("buildings|NOx|Work loss days", US_national_yearly!$D:$AM, 10, FALSE), 1)</f>
        <v>2.4017011552817932E-2</v>
      </c>
      <c r="T15" s="7">
        <f>$B15 * IFERROR(VLOOKUP("buildings|NOx|Work loss days", US_national_yearly!$D:$AM, 28, FALSE) / VLOOKUP("buildings|NOx|Work loss days", US_national_yearly!$D:$AM, 10, FALSE), 1)</f>
        <v>2.4186653673783944E-2</v>
      </c>
      <c r="U15" s="7">
        <f>$B15 * IFERROR(VLOOKUP("buildings|NOx|Work loss days", US_national_yearly!$D:$AM, 29, FALSE) / VLOOKUP("buildings|NOx|Work loss days", US_national_yearly!$D:$AM, 10, FALSE), 1)</f>
        <v>2.435629579474995E-2</v>
      </c>
      <c r="V15" s="7">
        <f>$B15 * IFERROR(VLOOKUP("buildings|NOx|Work loss days", US_national_yearly!$D:$AM, 30, FALSE) / VLOOKUP("buildings|NOx|Work loss days", US_national_yearly!$D:$AM, 10, FALSE), 1)</f>
        <v>2.4525937915715959E-2</v>
      </c>
      <c r="W15" s="7">
        <f>$B15 * IFERROR(VLOOKUP("buildings|NOx|Work loss days", US_national_yearly!$D:$AM, 31, FALSE) / VLOOKUP("buildings|NOx|Work loss days", US_national_yearly!$D:$AM, 10, FALSE), 1)</f>
        <v>2.4695580036681965E-2</v>
      </c>
      <c r="X15" s="7">
        <f>$B15 * IFERROR(VLOOKUP("buildings|NOx|Work loss days", US_national_yearly!$D:$AM, 32, FALSE) / VLOOKUP("buildings|NOx|Work loss days", US_national_yearly!$D:$AM, 10, FALSE), 1)</f>
        <v>2.4842864842234944E-2</v>
      </c>
      <c r="Y15" s="7">
        <f>$B15 * IFERROR(VLOOKUP("buildings|NOx|Work loss days", US_national_yearly!$D:$AM, 33, FALSE) / VLOOKUP("buildings|NOx|Work loss days", US_national_yearly!$D:$AM, 10, FALSE), 1)</f>
        <v>2.499014964778792E-2</v>
      </c>
      <c r="Z15" s="7">
        <f>$B15 * IFERROR(VLOOKUP("buildings|NOx|Work loss days", US_national_yearly!$D:$AM, 34, FALSE) / VLOOKUP("buildings|NOx|Work loss days", US_national_yearly!$D:$AM, 10, FALSE), 1)</f>
        <v>2.5137434453340896E-2</v>
      </c>
      <c r="AA15" s="7">
        <f>$B15 * IFERROR(VLOOKUP("buildings|NOx|Work loss days", US_national_yearly!$D:$AM, 35, FALSE) / VLOOKUP("buildings|NOx|Work loss days", US_national_yearly!$D:$AM, 10, FALSE), 1)</f>
        <v>2.5284719258893876E-2</v>
      </c>
      <c r="AB15" s="7">
        <f>$B15 * IFERROR(VLOOKUP("buildings|NOx|Work loss days", US_national_yearly!$D:$AM, 36, FALSE) / VLOOKUP("buildings|NOx|Work loss days", US_national_yearly!$D:$AM, 10, FALSE), 1)</f>
        <v>2.5432004064446852E-2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4.8250059361508426E-5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4.9668615394198741E-5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5.1087171426889069E-5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5.2505727459579384E-5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5.3924283492269699E-5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5.5271885923196504E-5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5.6619488354123309E-5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5.7753362750718787E-5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5.8887237147314251E-5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6.0021111543909715E-5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6.1154985940505173E-5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6.2288860337100631E-5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6.299813750447033E-5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6.3707414671840016E-5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6.4416691839209715E-5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6.5125969006579401E-5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6.5835246173949087E-5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6.6159335092752565E-5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6.648342401155603E-5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6.6807512930359495E-5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6.713160184916296E-5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6.7455690767966438E-5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6.7636334659036283E-5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6.7816978550106128E-5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6.7997622441175973E-5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6.8178266332245832E-5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6.8358910223315677E-5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1.0836609254474276E-3</v>
      </c>
      <c r="C2" s="7">
        <f>$B2 * IFERROR(VLOOKUP("buildings|SO2|Premature mortality", US_national_yearly!$D:$AM, 11, FALSE) / VLOOKUP("buildings|SO2|Premature mortality", US_national_yearly!$D:$AM, 10, FALSE), 1)</f>
        <v>1.0973891883400159E-3</v>
      </c>
      <c r="D2" s="7">
        <f>$B2 * IFERROR(VLOOKUP("buildings|SO2|Premature mortality", US_national_yearly!$D:$AM, 12, FALSE) / VLOOKUP("buildings|SO2|Premature mortality", US_national_yearly!$D:$AM, 10, FALSE), 1)</f>
        <v>1.111117451232604E-3</v>
      </c>
      <c r="E2" s="7">
        <f>$B2 * IFERROR(VLOOKUP("buildings|SO2|Premature mortality", US_national_yearly!$D:$AM, 13, FALSE) / VLOOKUP("buildings|SO2|Premature mortality", US_national_yearly!$D:$AM, 10, FALSE), 1)</f>
        <v>1.1248457141251923E-3</v>
      </c>
      <c r="F2" s="7">
        <f>$B2 * IFERROR(VLOOKUP("buildings|SO2|Premature mortality", US_national_yearly!$D:$AM, 14, FALSE) / VLOOKUP("buildings|SO2|Premature mortality", US_national_yearly!$D:$AM, 10, FALSE), 1)</f>
        <v>1.1385739770177808E-3</v>
      </c>
      <c r="G2" s="7">
        <f>$B2 * IFERROR(VLOOKUP("buildings|SO2|Premature mortality", US_national_yearly!$D:$AM, 15, FALSE) / VLOOKUP("buildings|SO2|Premature mortality", US_national_yearly!$D:$AM, 10, FALSE), 1)</f>
        <v>1.165025554049078E-3</v>
      </c>
      <c r="H2" s="7">
        <f>$B2 * IFERROR(VLOOKUP("buildings|SO2|Premature mortality", US_national_yearly!$D:$AM, 16, FALSE) / VLOOKUP("buildings|SO2|Premature mortality", US_national_yearly!$D:$AM, 10, FALSE), 1)</f>
        <v>1.1914771310803753E-3</v>
      </c>
      <c r="I2" s="7">
        <f>$B2 * IFERROR(VLOOKUP("buildings|SO2|Premature mortality", US_national_yearly!$D:$AM, 17, FALSE) / VLOOKUP("buildings|SO2|Premature mortality", US_national_yearly!$D:$AM, 10, FALSE), 1)</f>
        <v>1.208966761880029E-3</v>
      </c>
      <c r="J2" s="7">
        <f>$B2 * IFERROR(VLOOKUP("buildings|SO2|Premature mortality", US_national_yearly!$D:$AM, 18, FALSE) / VLOOKUP("buildings|SO2|Premature mortality", US_national_yearly!$D:$AM, 10, FALSE), 1)</f>
        <v>1.2264563926796823E-3</v>
      </c>
      <c r="K2" s="7">
        <f>$B2 * IFERROR(VLOOKUP("buildings|SO2|Premature mortality", US_national_yearly!$D:$AM, 19, FALSE) / VLOOKUP("buildings|SO2|Premature mortality", US_national_yearly!$D:$AM, 10, FALSE), 1)</f>
        <v>1.243946023479336E-3</v>
      </c>
      <c r="L2" s="7">
        <f>$B2 * IFERROR(VLOOKUP("buildings|SO2|Premature mortality", US_national_yearly!$D:$AM, 20, FALSE) / VLOOKUP("buildings|SO2|Premature mortality", US_national_yearly!$D:$AM, 10, FALSE), 1)</f>
        <v>1.2614356542789895E-3</v>
      </c>
      <c r="M2" s="7">
        <f>$B2 * IFERROR(VLOOKUP("buildings|SO2|Premature mortality", US_national_yearly!$D:$AM, 21, FALSE) / VLOOKUP("buildings|SO2|Premature mortality", US_national_yearly!$D:$AM, 10, FALSE), 1)</f>
        <v>1.278925285078643E-3</v>
      </c>
      <c r="N2" s="7">
        <f>$B2 * IFERROR(VLOOKUP("buildings|SO2|Premature mortality", US_national_yearly!$D:$AM, 22, FALSE) / VLOOKUP("buildings|SO2|Premature mortality", US_national_yearly!$D:$AM, 10, FALSE), 1)</f>
        <v>1.2925875703234026E-3</v>
      </c>
      <c r="O2" s="7">
        <f>$B2 * IFERROR(VLOOKUP("buildings|SO2|Premature mortality", US_national_yearly!$D:$AM, 23, FALSE) / VLOOKUP("buildings|SO2|Premature mortality", US_national_yearly!$D:$AM, 10, FALSE), 1)</f>
        <v>1.3062498555681612E-3</v>
      </c>
      <c r="P2" s="7">
        <f>$B2 * IFERROR(VLOOKUP("buildings|SO2|Premature mortality", US_national_yearly!$D:$AM, 24, FALSE) / VLOOKUP("buildings|SO2|Premature mortality", US_national_yearly!$D:$AM, 10, FALSE), 1)</f>
        <v>1.3199121408129207E-3</v>
      </c>
      <c r="Q2" s="7">
        <f>$B2 * IFERROR(VLOOKUP("buildings|SO2|Premature mortality", US_national_yearly!$D:$AM, 25, FALSE) / VLOOKUP("buildings|SO2|Premature mortality", US_national_yearly!$D:$AM, 10, FALSE), 1)</f>
        <v>1.3335744260576797E-3</v>
      </c>
      <c r="R2" s="7">
        <f>$B2 * IFERROR(VLOOKUP("buildings|SO2|Premature mortality", US_national_yearly!$D:$AM, 26, FALSE) / VLOOKUP("buildings|SO2|Premature mortality", US_national_yearly!$D:$AM, 10, FALSE), 1)</f>
        <v>1.347236711302439E-3</v>
      </c>
      <c r="S2" s="7">
        <f>$B2 * IFERROR(VLOOKUP("buildings|SO2|Premature mortality", US_national_yearly!$D:$AM, 27, FALSE) / VLOOKUP("buildings|SO2|Premature mortality", US_national_yearly!$D:$AM, 10, FALSE), 1)</f>
        <v>1.3545489223168829E-3</v>
      </c>
      <c r="T2" s="7">
        <f>$B2 * IFERROR(VLOOKUP("buildings|SO2|Premature mortality", US_national_yearly!$D:$AM, 28, FALSE) / VLOOKUP("buildings|SO2|Premature mortality", US_national_yearly!$D:$AM, 10, FALSE), 1)</f>
        <v>1.3618611333313273E-3</v>
      </c>
      <c r="U2" s="7">
        <f>$B2 * IFERROR(VLOOKUP("buildings|SO2|Premature mortality", US_national_yearly!$D:$AM, 29, FALSE) / VLOOKUP("buildings|SO2|Premature mortality", US_national_yearly!$D:$AM, 10, FALSE), 1)</f>
        <v>1.3691733443457713E-3</v>
      </c>
      <c r="V2" s="7">
        <f>$B2 * IFERROR(VLOOKUP("buildings|SO2|Premature mortality", US_national_yearly!$D:$AM, 30, FALSE) / VLOOKUP("buildings|SO2|Premature mortality", US_national_yearly!$D:$AM, 10, FALSE), 1)</f>
        <v>1.3764855553602157E-3</v>
      </c>
      <c r="W2" s="7">
        <f>$B2 * IFERROR(VLOOKUP("buildings|SO2|Premature mortality", US_national_yearly!$D:$AM, 31, FALSE) / VLOOKUP("buildings|SO2|Premature mortality", US_national_yearly!$D:$AM, 10, FALSE), 1)</f>
        <v>1.3837977663746597E-3</v>
      </c>
      <c r="X2" s="7">
        <f>$B2 * IFERROR(VLOOKUP("buildings|SO2|Premature mortality", US_national_yearly!$D:$AM, 32, FALSE) / VLOOKUP("buildings|SO2|Premature mortality", US_national_yearly!$D:$AM, 10, FALSE), 1)</f>
        <v>1.3852753079720047E-3</v>
      </c>
      <c r="Y2" s="7">
        <f>$B2 * IFERROR(VLOOKUP("buildings|SO2|Premature mortality", US_national_yearly!$D:$AM, 33, FALSE) / VLOOKUP("buildings|SO2|Premature mortality", US_national_yearly!$D:$AM, 10, FALSE), 1)</f>
        <v>1.38675284956935E-3</v>
      </c>
      <c r="Z2" s="7">
        <f>$B2 * IFERROR(VLOOKUP("buildings|SO2|Premature mortality", US_national_yearly!$D:$AM, 34, FALSE) / VLOOKUP("buildings|SO2|Premature mortality", US_national_yearly!$D:$AM, 10, FALSE), 1)</f>
        <v>1.3882303911666948E-3</v>
      </c>
      <c r="AA2" s="7">
        <f>$B2 * IFERROR(VLOOKUP("buildings|SO2|Premature mortality", US_national_yearly!$D:$AM, 35, FALSE) / VLOOKUP("buildings|SO2|Premature mortality", US_national_yearly!$D:$AM, 10, FALSE), 1)</f>
        <v>1.3897079327640401E-3</v>
      </c>
      <c r="AB2" s="7">
        <f>$B2 * IFERROR(VLOOKUP("buildings|SO2|Premature mortality", US_national_yearly!$D:$AM, 36, FALSE) / VLOOKUP("buildings|SO2|Premature mortality", US_national_yearly!$D:$AM, 10, FALSE), 1)</f>
        <v>1.3911854743613851E-3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1.4684472767250494E-6</v>
      </c>
      <c r="C3" s="7">
        <f>$B3 * IFERROR(VLOOKUP("buildings|SO2|Infant mortality", US_national_yearly!$D:$AM, 11, FALSE) / VLOOKUP("buildings|SO2|Infant mortality", US_national_yearly!$D:$AM, 10, FALSE), 1)</f>
        <v>1.4558606171591823E-6</v>
      </c>
      <c r="D3" s="7">
        <f>$B3 * IFERROR(VLOOKUP("buildings|SO2|Infant mortality", US_national_yearly!$D:$AM, 12, FALSE) / VLOOKUP("buildings|SO2|Infant mortality", US_national_yearly!$D:$AM, 10, FALSE), 1)</f>
        <v>1.4432739575933155E-6</v>
      </c>
      <c r="E3" s="7">
        <f>$B3 * IFERROR(VLOOKUP("buildings|SO2|Infant mortality", US_national_yearly!$D:$AM, 13, FALSE) / VLOOKUP("buildings|SO2|Infant mortality", US_national_yearly!$D:$AM, 10, FALSE), 1)</f>
        <v>1.4306872980274487E-6</v>
      </c>
      <c r="F3" s="7">
        <f>$B3 * IFERROR(VLOOKUP("buildings|SO2|Infant mortality", US_national_yearly!$D:$AM, 14, FALSE) / VLOOKUP("buildings|SO2|Infant mortality", US_national_yearly!$D:$AM, 10, FALSE), 1)</f>
        <v>1.4181006384615819E-6</v>
      </c>
      <c r="G3" s="7">
        <f>$B3 * IFERROR(VLOOKUP("buildings|SO2|Infant mortality", US_national_yearly!$D:$AM, 15, FALSE) / VLOOKUP("buildings|SO2|Infant mortality", US_national_yearly!$D:$AM, 10, FALSE), 1)</f>
        <v>9.4439884468632396E-7</v>
      </c>
      <c r="H3" s="7">
        <f>$B3 * IFERROR(VLOOKUP("buildings|SO2|Infant mortality", US_national_yearly!$D:$AM, 16, FALSE) / VLOOKUP("buildings|SO2|Infant mortality", US_national_yearly!$D:$AM, 10, FALSE), 1)</f>
        <v>4.7069705091106598E-7</v>
      </c>
      <c r="I3" s="7">
        <f>$B3 * IFERROR(VLOOKUP("buildings|SO2|Infant mortality", US_national_yearly!$D:$AM, 17, FALSE) / VLOOKUP("buildings|SO2|Infant mortality", US_national_yearly!$D:$AM, 10, FALSE), 1)</f>
        <v>4.6774384563459126E-7</v>
      </c>
      <c r="J3" s="7">
        <f>$B3 * IFERROR(VLOOKUP("buildings|SO2|Infant mortality", US_national_yearly!$D:$AM, 18, FALSE) / VLOOKUP("buildings|SO2|Infant mortality", US_national_yearly!$D:$AM, 10, FALSE), 1)</f>
        <v>4.6479064035811644E-7</v>
      </c>
      <c r="K3" s="7">
        <f>$B3 * IFERROR(VLOOKUP("buildings|SO2|Infant mortality", US_national_yearly!$D:$AM, 19, FALSE) / VLOOKUP("buildings|SO2|Infant mortality", US_national_yearly!$D:$AM, 10, FALSE), 1)</f>
        <v>4.6183743508164172E-7</v>
      </c>
      <c r="L3" s="7">
        <f>$B3 * IFERROR(VLOOKUP("buildings|SO2|Infant mortality", US_national_yearly!$D:$AM, 20, FALSE) / VLOOKUP("buildings|SO2|Infant mortality", US_national_yearly!$D:$AM, 10, FALSE), 1)</f>
        <v>4.5888422980516689E-7</v>
      </c>
      <c r="M3" s="7">
        <f>$B3 * IFERROR(VLOOKUP("buildings|SO2|Infant mortality", US_national_yearly!$D:$AM, 21, FALSE) / VLOOKUP("buildings|SO2|Infant mortality", US_national_yearly!$D:$AM, 10, FALSE), 1)</f>
        <v>4.5593102452869217E-7</v>
      </c>
      <c r="N3" s="7">
        <f>$B3 * IFERROR(VLOOKUP("buildings|SO2|Infant mortality", US_national_yearly!$D:$AM, 22, FALSE) / VLOOKUP("buildings|SO2|Infant mortality", US_national_yearly!$D:$AM, 10, FALSE), 1)</f>
        <v>4.5407967854531568E-7</v>
      </c>
      <c r="O3" s="7">
        <f>$B3 * IFERROR(VLOOKUP("buildings|SO2|Infant mortality", US_national_yearly!$D:$AM, 23, FALSE) / VLOOKUP("buildings|SO2|Infant mortality", US_national_yearly!$D:$AM, 10, FALSE), 1)</f>
        <v>4.5222833256193918E-7</v>
      </c>
      <c r="P3" s="7">
        <f>$B3 * IFERROR(VLOOKUP("buildings|SO2|Infant mortality", US_national_yearly!$D:$AM, 24, FALSE) / VLOOKUP("buildings|SO2|Infant mortality", US_national_yearly!$D:$AM, 10, FALSE), 1)</f>
        <v>4.5037698657856269E-7</v>
      </c>
      <c r="Q3" s="7">
        <f>$B3 * IFERROR(VLOOKUP("buildings|SO2|Infant mortality", US_national_yearly!$D:$AM, 25, FALSE) / VLOOKUP("buildings|SO2|Infant mortality", US_national_yearly!$D:$AM, 10, FALSE), 1)</f>
        <v>4.485256405951862E-7</v>
      </c>
      <c r="R3" s="7">
        <f>$B3 * IFERROR(VLOOKUP("buildings|SO2|Infant mortality", US_national_yearly!$D:$AM, 26, FALSE) / VLOOKUP("buildings|SO2|Infant mortality", US_national_yearly!$D:$AM, 10, FALSE), 1)</f>
        <v>4.466742946118097E-7</v>
      </c>
      <c r="S3" s="7">
        <f>$B3 * IFERROR(VLOOKUP("buildings|SO2|Infant mortality", US_national_yearly!$D:$AM, 27, FALSE) / VLOOKUP("buildings|SO2|Infant mortality", US_national_yearly!$D:$AM, 10, FALSE), 1)</f>
        <v>4.4434959099075318E-7</v>
      </c>
      <c r="T3" s="7">
        <f>$B3 * IFERROR(VLOOKUP("buildings|SO2|Infant mortality", US_national_yearly!$D:$AM, 28, FALSE) / VLOOKUP("buildings|SO2|Infant mortality", US_national_yearly!$D:$AM, 10, FALSE), 1)</f>
        <v>4.4202488736969672E-7</v>
      </c>
      <c r="U3" s="7">
        <f>$B3 * IFERROR(VLOOKUP("buildings|SO2|Infant mortality", US_national_yearly!$D:$AM, 29, FALSE) / VLOOKUP("buildings|SO2|Infant mortality", US_national_yearly!$D:$AM, 10, FALSE), 1)</f>
        <v>4.397001837486402E-7</v>
      </c>
      <c r="V3" s="7">
        <f>$B3 * IFERROR(VLOOKUP("buildings|SO2|Infant mortality", US_national_yearly!$D:$AM, 30, FALSE) / VLOOKUP("buildings|SO2|Infant mortality", US_national_yearly!$D:$AM, 10, FALSE), 1)</f>
        <v>4.3737548012758373E-7</v>
      </c>
      <c r="W3" s="7">
        <f>$B3 * IFERROR(VLOOKUP("buildings|SO2|Infant mortality", US_national_yearly!$D:$AM, 31, FALSE) / VLOOKUP("buildings|SO2|Infant mortality", US_national_yearly!$D:$AM, 10, FALSE), 1)</f>
        <v>4.3505077650652722E-7</v>
      </c>
      <c r="X3" s="7">
        <f>$B3 * IFERROR(VLOOKUP("buildings|SO2|Infant mortality", US_national_yearly!$D:$AM, 32, FALSE) / VLOOKUP("buildings|SO2|Infant mortality", US_national_yearly!$D:$AM, 10, FALSE), 1)</f>
        <v>4.3251183179937519E-7</v>
      </c>
      <c r="Y3" s="7">
        <f>$B3 * IFERROR(VLOOKUP("buildings|SO2|Infant mortality", US_national_yearly!$D:$AM, 33, FALSE) / VLOOKUP("buildings|SO2|Infant mortality", US_national_yearly!$D:$AM, 10, FALSE), 1)</f>
        <v>4.2997288709222317E-7</v>
      </c>
      <c r="Z3" s="7">
        <f>$B3 * IFERROR(VLOOKUP("buildings|SO2|Infant mortality", US_national_yearly!$D:$AM, 34, FALSE) / VLOOKUP("buildings|SO2|Infant mortality", US_national_yearly!$D:$AM, 10, FALSE), 1)</f>
        <v>4.274339423850712E-7</v>
      </c>
      <c r="AA3" s="7">
        <f>$B3 * IFERROR(VLOOKUP("buildings|SO2|Infant mortality", US_national_yearly!$D:$AM, 35, FALSE) / VLOOKUP("buildings|SO2|Infant mortality", US_national_yearly!$D:$AM, 10, FALSE), 1)</f>
        <v>4.2489499767791907E-7</v>
      </c>
      <c r="AB3" s="7">
        <f>$B3 * IFERROR(VLOOKUP("buildings|SO2|Infant mortality", US_national_yearly!$D:$AM, 36, FALSE) / VLOOKUP("buildings|SO2|Infant mortality", US_national_yearly!$D:$AM, 10, FALSE), 1)</f>
        <v>4.2235605297076715E-7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2.1865588282006161E-3</v>
      </c>
      <c r="C6" s="7">
        <f>$B6 * IFERROR(VLOOKUP("buildings|SO2|Asthma symptoms cough", US_national_yearly!$D:$AM, 11, FALSE) / VLOOKUP("buildings|SO2|Asthma symptoms cough", US_national_yearly!$D:$AM, 10, FALSE), 1)</f>
        <v>2.1865588282006161E-3</v>
      </c>
      <c r="D6" s="7">
        <f>$B6 * IFERROR(VLOOKUP("buildings|SO2|Asthma symptoms cough", US_national_yearly!$D:$AM, 12, FALSE) / VLOOKUP("buildings|SO2|Asthma symptoms cough", US_national_yearly!$D:$AM, 10, FALSE), 1)</f>
        <v>2.1865588282006161E-3</v>
      </c>
      <c r="E6" s="7">
        <f>$B6 * IFERROR(VLOOKUP("buildings|SO2|Asthma symptoms cough", US_national_yearly!$D:$AM, 13, FALSE) / VLOOKUP("buildings|SO2|Asthma symptoms cough", US_national_yearly!$D:$AM, 10, FALSE), 1)</f>
        <v>2.1865588282006161E-3</v>
      </c>
      <c r="F6" s="7">
        <f>$B6 * IFERROR(VLOOKUP("buildings|SO2|Asthma symptoms cough", US_national_yearly!$D:$AM, 14, FALSE) / VLOOKUP("buildings|SO2|Asthma symptoms cough", US_national_yearly!$D:$AM, 10, FALSE), 1)</f>
        <v>2.1865588282006161E-3</v>
      </c>
      <c r="G6" s="7">
        <f>$B6 * IFERROR(VLOOKUP("buildings|SO2|Asthma symptoms cough", US_national_yearly!$D:$AM, 15, FALSE) / VLOOKUP("buildings|SO2|Asthma symptoms cough", US_national_yearly!$D:$AM, 10, FALSE), 1)</f>
        <v>2.1865588282006161E-3</v>
      </c>
      <c r="H6" s="7">
        <f>$B6 * IFERROR(VLOOKUP("buildings|SO2|Asthma symptoms cough", US_national_yearly!$D:$AM, 16, FALSE) / VLOOKUP("buildings|SO2|Asthma symptoms cough", US_national_yearly!$D:$AM, 10, FALSE), 1)</f>
        <v>2.1865588282006161E-3</v>
      </c>
      <c r="I6" s="7">
        <f>$B6 * IFERROR(VLOOKUP("buildings|SO2|Asthma symptoms cough", US_national_yearly!$D:$AM, 17, FALSE) / VLOOKUP("buildings|SO2|Asthma symptoms cough", US_national_yearly!$D:$AM, 10, FALSE), 1)</f>
        <v>2.1865588282006161E-3</v>
      </c>
      <c r="J6" s="7">
        <f>$B6 * IFERROR(VLOOKUP("buildings|SO2|Asthma symptoms cough", US_national_yearly!$D:$AM, 18, FALSE) / VLOOKUP("buildings|SO2|Asthma symptoms cough", US_national_yearly!$D:$AM, 10, FALSE), 1)</f>
        <v>2.1865588282006161E-3</v>
      </c>
      <c r="K6" s="7">
        <f>$B6 * IFERROR(VLOOKUP("buildings|SO2|Asthma symptoms cough", US_national_yearly!$D:$AM, 19, FALSE) / VLOOKUP("buildings|SO2|Asthma symptoms cough", US_national_yearly!$D:$AM, 10, FALSE), 1)</f>
        <v>2.1865588282006161E-3</v>
      </c>
      <c r="L6" s="7">
        <f>$B6 * IFERROR(VLOOKUP("buildings|SO2|Asthma symptoms cough", US_national_yearly!$D:$AM, 20, FALSE) / VLOOKUP("buildings|SO2|Asthma symptoms cough", US_national_yearly!$D:$AM, 10, FALSE), 1)</f>
        <v>2.1865588282006161E-3</v>
      </c>
      <c r="M6" s="7">
        <f>$B6 * IFERROR(VLOOKUP("buildings|SO2|Asthma symptoms cough", US_national_yearly!$D:$AM, 21, FALSE) / VLOOKUP("buildings|SO2|Asthma symptoms cough", US_national_yearly!$D:$AM, 10, FALSE), 1)</f>
        <v>2.1865588282006161E-3</v>
      </c>
      <c r="N6" s="7">
        <f>$B6 * IFERROR(VLOOKUP("buildings|SO2|Asthma symptoms cough", US_national_yearly!$D:$AM, 22, FALSE) / VLOOKUP("buildings|SO2|Asthma symptoms cough", US_national_yearly!$D:$AM, 10, FALSE), 1)</f>
        <v>2.1865588282006161E-3</v>
      </c>
      <c r="O6" s="7">
        <f>$B6 * IFERROR(VLOOKUP("buildings|SO2|Asthma symptoms cough", US_national_yearly!$D:$AM, 23, FALSE) / VLOOKUP("buildings|SO2|Asthma symptoms cough", US_national_yearly!$D:$AM, 10, FALSE), 1)</f>
        <v>2.1865588282006161E-3</v>
      </c>
      <c r="P6" s="7">
        <f>$B6 * IFERROR(VLOOKUP("buildings|SO2|Asthma symptoms cough", US_national_yearly!$D:$AM, 24, FALSE) / VLOOKUP("buildings|SO2|Asthma symptoms cough", US_national_yearly!$D:$AM, 10, FALSE), 1)</f>
        <v>2.1865588282006161E-3</v>
      </c>
      <c r="Q6" s="7">
        <f>$B6 * IFERROR(VLOOKUP("buildings|SO2|Asthma symptoms cough", US_national_yearly!$D:$AM, 25, FALSE) / VLOOKUP("buildings|SO2|Asthma symptoms cough", US_national_yearly!$D:$AM, 10, FALSE), 1)</f>
        <v>2.1865588282006161E-3</v>
      </c>
      <c r="R6" s="7">
        <f>$B6 * IFERROR(VLOOKUP("buildings|SO2|Asthma symptoms cough", US_national_yearly!$D:$AM, 26, FALSE) / VLOOKUP("buildings|SO2|Asthma symptoms cough", US_national_yearly!$D:$AM, 10, FALSE), 1)</f>
        <v>2.1865588282006161E-3</v>
      </c>
      <c r="S6" s="7">
        <f>$B6 * IFERROR(VLOOKUP("buildings|SO2|Asthma symptoms cough", US_national_yearly!$D:$AM, 27, FALSE) / VLOOKUP("buildings|SO2|Asthma symptoms cough", US_national_yearly!$D:$AM, 10, FALSE), 1)</f>
        <v>2.1865588282006161E-3</v>
      </c>
      <c r="T6" s="7">
        <f>$B6 * IFERROR(VLOOKUP("buildings|SO2|Asthma symptoms cough", US_national_yearly!$D:$AM, 28, FALSE) / VLOOKUP("buildings|SO2|Asthma symptoms cough", US_national_yearly!$D:$AM, 10, FALSE), 1)</f>
        <v>2.1865588282006161E-3</v>
      </c>
      <c r="U6" s="7">
        <f>$B6 * IFERROR(VLOOKUP("buildings|SO2|Asthma symptoms cough", US_national_yearly!$D:$AM, 29, FALSE) / VLOOKUP("buildings|SO2|Asthma symptoms cough", US_national_yearly!$D:$AM, 10, FALSE), 1)</f>
        <v>2.1865588282006161E-3</v>
      </c>
      <c r="V6" s="7">
        <f>$B6 * IFERROR(VLOOKUP("buildings|SO2|Asthma symptoms cough", US_national_yearly!$D:$AM, 30, FALSE) / VLOOKUP("buildings|SO2|Asthma symptoms cough", US_national_yearly!$D:$AM, 10, FALSE), 1)</f>
        <v>2.1865588282006161E-3</v>
      </c>
      <c r="W6" s="7">
        <f>$B6 * IFERROR(VLOOKUP("buildings|SO2|Asthma symptoms cough", US_national_yearly!$D:$AM, 31, FALSE) / VLOOKUP("buildings|SO2|Asthma symptoms cough", US_national_yearly!$D:$AM, 10, FALSE), 1)</f>
        <v>2.1865588282006161E-3</v>
      </c>
      <c r="X6" s="7">
        <f>$B6 * IFERROR(VLOOKUP("buildings|SO2|Asthma symptoms cough", US_national_yearly!$D:$AM, 32, FALSE) / VLOOKUP("buildings|SO2|Asthma symptoms cough", US_national_yearly!$D:$AM, 10, FALSE), 1)</f>
        <v>2.1865588282006161E-3</v>
      </c>
      <c r="Y6" s="7">
        <f>$B6 * IFERROR(VLOOKUP("buildings|SO2|Asthma symptoms cough", US_national_yearly!$D:$AM, 33, FALSE) / VLOOKUP("buildings|SO2|Asthma symptoms cough", US_national_yearly!$D:$AM, 10, FALSE), 1)</f>
        <v>2.1865588282006161E-3</v>
      </c>
      <c r="Z6" s="7">
        <f>$B6 * IFERROR(VLOOKUP("buildings|SO2|Asthma symptoms cough", US_national_yearly!$D:$AM, 34, FALSE) / VLOOKUP("buildings|SO2|Asthma symptoms cough", US_national_yearly!$D:$AM, 10, FALSE), 1)</f>
        <v>2.1865588282006161E-3</v>
      </c>
      <c r="AA6" s="7">
        <f>$B6 * IFERROR(VLOOKUP("buildings|SO2|Asthma symptoms cough", US_national_yearly!$D:$AM, 35, FALSE) / VLOOKUP("buildings|SO2|Asthma symptoms cough", US_national_yearly!$D:$AM, 10, FALSE), 1)</f>
        <v>2.1865588282006161E-3</v>
      </c>
      <c r="AB6" s="7">
        <f>$B6 * IFERROR(VLOOKUP("buildings|SO2|Asthma symptoms cough", US_national_yearly!$D:$AM, 36, FALSE) / VLOOKUP("buildings|SO2|Asthma symptoms cough", US_national_yearly!$D:$AM, 10, FALSE), 1)</f>
        <v>2.1865588282006161E-3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2.9445217532734756E-3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2.9445217532734756E-3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2.9445217532734756E-3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2.9445217532734756E-3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2.9445217532734756E-3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2.9445217532734756E-3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2.9445217532734756E-3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2.9445217532734756E-3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2.9445217532734756E-3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2.9445217532734756E-3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2.9445217532734756E-3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2.9445217532734756E-3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2.9445217532734756E-3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2.9445217532734756E-3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2.9445217532734756E-3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2.9445217532734756E-3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2.9445217532734756E-3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2.9445217532734756E-3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2.9445217532734756E-3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2.9445217532734756E-3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2.9445217532734756E-3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2.9445217532734756E-3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2.9445217532734756E-3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2.9445217532734756E-3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2.9445217532734756E-3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2.9445217532734756E-3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2.9445217532734756E-3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4.4987194486172449E-3</v>
      </c>
      <c r="C8" s="7">
        <f>$B8 * IFERROR(VLOOKUP("buildings|SO2|Asthma symptoms wheeze", US_national_yearly!$D:$AM, 11, FALSE) / VLOOKUP("buildings|SO2|Asthma symptoms wheeze", US_national_yearly!$D:$AM, 10, FALSE), 1)</f>
        <v>4.4987194486172449E-3</v>
      </c>
      <c r="D8" s="7">
        <f>$B8 * IFERROR(VLOOKUP("buildings|SO2|Asthma symptoms wheeze", US_national_yearly!$D:$AM, 12, FALSE) / VLOOKUP("buildings|SO2|Asthma symptoms wheeze", US_national_yearly!$D:$AM, 10, FALSE), 1)</f>
        <v>4.4987194486172449E-3</v>
      </c>
      <c r="E8" s="7">
        <f>$B8 * IFERROR(VLOOKUP("buildings|SO2|Asthma symptoms wheeze", US_national_yearly!$D:$AM, 13, FALSE) / VLOOKUP("buildings|SO2|Asthma symptoms wheeze", US_national_yearly!$D:$AM, 10, FALSE), 1)</f>
        <v>4.4987194486172449E-3</v>
      </c>
      <c r="F8" s="7">
        <f>$B8 * IFERROR(VLOOKUP("buildings|SO2|Asthma symptoms wheeze", US_national_yearly!$D:$AM, 14, FALSE) / VLOOKUP("buildings|SO2|Asthma symptoms wheeze", US_national_yearly!$D:$AM, 10, FALSE), 1)</f>
        <v>4.4987194486172449E-3</v>
      </c>
      <c r="G8" s="7">
        <f>$B8 * IFERROR(VLOOKUP("buildings|SO2|Asthma symptoms wheeze", US_national_yearly!$D:$AM, 15, FALSE) / VLOOKUP("buildings|SO2|Asthma symptoms wheeze", US_national_yearly!$D:$AM, 10, FALSE), 1)</f>
        <v>4.4987194486172449E-3</v>
      </c>
      <c r="H8" s="7">
        <f>$B8 * IFERROR(VLOOKUP("buildings|SO2|Asthma symptoms wheeze", US_national_yearly!$D:$AM, 16, FALSE) / VLOOKUP("buildings|SO2|Asthma symptoms wheeze", US_national_yearly!$D:$AM, 10, FALSE), 1)</f>
        <v>4.4987194486172449E-3</v>
      </c>
      <c r="I8" s="7">
        <f>$B8 * IFERROR(VLOOKUP("buildings|SO2|Asthma symptoms wheeze", US_national_yearly!$D:$AM, 17, FALSE) / VLOOKUP("buildings|SO2|Asthma symptoms wheeze", US_national_yearly!$D:$AM, 10, FALSE), 1)</f>
        <v>4.4987194486172449E-3</v>
      </c>
      <c r="J8" s="7">
        <f>$B8 * IFERROR(VLOOKUP("buildings|SO2|Asthma symptoms wheeze", US_national_yearly!$D:$AM, 18, FALSE) / VLOOKUP("buildings|SO2|Asthma symptoms wheeze", US_national_yearly!$D:$AM, 10, FALSE), 1)</f>
        <v>4.4987194486172449E-3</v>
      </c>
      <c r="K8" s="7">
        <f>$B8 * IFERROR(VLOOKUP("buildings|SO2|Asthma symptoms wheeze", US_national_yearly!$D:$AM, 19, FALSE) / VLOOKUP("buildings|SO2|Asthma symptoms wheeze", US_national_yearly!$D:$AM, 10, FALSE), 1)</f>
        <v>4.4987194486172449E-3</v>
      </c>
      <c r="L8" s="7">
        <f>$B8 * IFERROR(VLOOKUP("buildings|SO2|Asthma symptoms wheeze", US_national_yearly!$D:$AM, 20, FALSE) / VLOOKUP("buildings|SO2|Asthma symptoms wheeze", US_national_yearly!$D:$AM, 10, FALSE), 1)</f>
        <v>4.4987194486172449E-3</v>
      </c>
      <c r="M8" s="7">
        <f>$B8 * IFERROR(VLOOKUP("buildings|SO2|Asthma symptoms wheeze", US_national_yearly!$D:$AM, 21, FALSE) / VLOOKUP("buildings|SO2|Asthma symptoms wheeze", US_national_yearly!$D:$AM, 10, FALSE), 1)</f>
        <v>4.4987194486172449E-3</v>
      </c>
      <c r="N8" s="7">
        <f>$B8 * IFERROR(VLOOKUP("buildings|SO2|Asthma symptoms wheeze", US_national_yearly!$D:$AM, 22, FALSE) / VLOOKUP("buildings|SO2|Asthma symptoms wheeze", US_national_yearly!$D:$AM, 10, FALSE), 1)</f>
        <v>4.4987194486172449E-3</v>
      </c>
      <c r="O8" s="7">
        <f>$B8 * IFERROR(VLOOKUP("buildings|SO2|Asthma symptoms wheeze", US_national_yearly!$D:$AM, 23, FALSE) / VLOOKUP("buildings|SO2|Asthma symptoms wheeze", US_national_yearly!$D:$AM, 10, FALSE), 1)</f>
        <v>4.4987194486172449E-3</v>
      </c>
      <c r="P8" s="7">
        <f>$B8 * IFERROR(VLOOKUP("buildings|SO2|Asthma symptoms wheeze", US_national_yearly!$D:$AM, 24, FALSE) / VLOOKUP("buildings|SO2|Asthma symptoms wheeze", US_national_yearly!$D:$AM, 10, FALSE), 1)</f>
        <v>4.4987194486172449E-3</v>
      </c>
      <c r="Q8" s="7">
        <f>$B8 * IFERROR(VLOOKUP("buildings|SO2|Asthma symptoms wheeze", US_national_yearly!$D:$AM, 25, FALSE) / VLOOKUP("buildings|SO2|Asthma symptoms wheeze", US_national_yearly!$D:$AM, 10, FALSE), 1)</f>
        <v>4.4987194486172449E-3</v>
      </c>
      <c r="R8" s="7">
        <f>$B8 * IFERROR(VLOOKUP("buildings|SO2|Asthma symptoms wheeze", US_national_yearly!$D:$AM, 26, FALSE) / VLOOKUP("buildings|SO2|Asthma symptoms wheeze", US_national_yearly!$D:$AM, 10, FALSE), 1)</f>
        <v>4.4987194486172449E-3</v>
      </c>
      <c r="S8" s="7">
        <f>$B8 * IFERROR(VLOOKUP("buildings|SO2|Asthma symptoms wheeze", US_national_yearly!$D:$AM, 27, FALSE) / VLOOKUP("buildings|SO2|Asthma symptoms wheeze", US_national_yearly!$D:$AM, 10, FALSE), 1)</f>
        <v>4.4987194486172449E-3</v>
      </c>
      <c r="T8" s="7">
        <f>$B8 * IFERROR(VLOOKUP("buildings|SO2|Asthma symptoms wheeze", US_national_yearly!$D:$AM, 28, FALSE) / VLOOKUP("buildings|SO2|Asthma symptoms wheeze", US_national_yearly!$D:$AM, 10, FALSE), 1)</f>
        <v>4.4987194486172449E-3</v>
      </c>
      <c r="U8" s="7">
        <f>$B8 * IFERROR(VLOOKUP("buildings|SO2|Asthma symptoms wheeze", US_national_yearly!$D:$AM, 29, FALSE) / VLOOKUP("buildings|SO2|Asthma symptoms wheeze", US_national_yearly!$D:$AM, 10, FALSE), 1)</f>
        <v>4.4987194486172449E-3</v>
      </c>
      <c r="V8" s="7">
        <f>$B8 * IFERROR(VLOOKUP("buildings|SO2|Asthma symptoms wheeze", US_national_yearly!$D:$AM, 30, FALSE) / VLOOKUP("buildings|SO2|Asthma symptoms wheeze", US_national_yearly!$D:$AM, 10, FALSE), 1)</f>
        <v>4.4987194486172449E-3</v>
      </c>
      <c r="W8" s="7">
        <f>$B8 * IFERROR(VLOOKUP("buildings|SO2|Asthma symptoms wheeze", US_national_yearly!$D:$AM, 31, FALSE) / VLOOKUP("buildings|SO2|Asthma symptoms wheeze", US_national_yearly!$D:$AM, 10, FALSE), 1)</f>
        <v>4.4987194486172449E-3</v>
      </c>
      <c r="X8" s="7">
        <f>$B8 * IFERROR(VLOOKUP("buildings|SO2|Asthma symptoms wheeze", US_national_yearly!$D:$AM, 32, FALSE) / VLOOKUP("buildings|SO2|Asthma symptoms wheeze", US_national_yearly!$D:$AM, 10, FALSE), 1)</f>
        <v>4.4987194486172449E-3</v>
      </c>
      <c r="Y8" s="7">
        <f>$B8 * IFERROR(VLOOKUP("buildings|SO2|Asthma symptoms wheeze", US_national_yearly!$D:$AM, 33, FALSE) / VLOOKUP("buildings|SO2|Asthma symptoms wheeze", US_national_yearly!$D:$AM, 10, FALSE), 1)</f>
        <v>4.4987194486172449E-3</v>
      </c>
      <c r="Z8" s="7">
        <f>$B8 * IFERROR(VLOOKUP("buildings|SO2|Asthma symptoms wheeze", US_national_yearly!$D:$AM, 34, FALSE) / VLOOKUP("buildings|SO2|Asthma symptoms wheeze", US_national_yearly!$D:$AM, 10, FALSE), 1)</f>
        <v>4.4987194486172449E-3</v>
      </c>
      <c r="AA8" s="7">
        <f>$B8 * IFERROR(VLOOKUP("buildings|SO2|Asthma symptoms wheeze", US_national_yearly!$D:$AM, 35, FALSE) / VLOOKUP("buildings|SO2|Asthma symptoms wheeze", US_national_yearly!$D:$AM, 10, FALSE), 1)</f>
        <v>4.4987194486172449E-3</v>
      </c>
      <c r="AB8" s="7">
        <f>$B8 * IFERROR(VLOOKUP("buildings|SO2|Asthma symptoms wheeze", US_national_yearly!$D:$AM, 36, FALSE) / VLOOKUP("buildings|SO2|Asthma symptoms wheeze", US_national_yearly!$D:$AM, 10, FALSE), 1)</f>
        <v>4.4987194486172449E-3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7.9024172338795084E-5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7.949091936849095E-5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7.9957666398186816E-5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8.0424413427882682E-5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8.0891160457578534E-5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8.1399855916355855E-5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8.1908551375133162E-5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8.2409163825958472E-5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8.2909776276783809E-5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8.3410388727609119E-5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8.3911001178434429E-5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8.4411613629259752E-5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8.4777143590122992E-5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8.5142673550986231E-5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8.5508203511849471E-5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8.5873733472712724E-5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8.6239263433575964E-5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8.6587800541954642E-5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8.6936337650333348E-5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8.7284874758712026E-5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8.7633411867090705E-5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8.798194897546941E-5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8.8313150166550194E-5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8.8644351357631006E-5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8.897555254871179E-5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8.9306753739792574E-5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8.9637954930873385E-5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4.6027170334113094E-4</v>
      </c>
      <c r="C13" s="7">
        <f>$B13 * IFERROR(VLOOKUP("buildings|SO2|Non-fatal heart attacks", US_national_yearly!$D:$AM, 11, FALSE) / VLOOKUP("buildings|SO2|Non-fatal heart attacks", US_national_yearly!$D:$AM, 10, FALSE), 1)</f>
        <v>4.7378797725067636E-4</v>
      </c>
      <c r="D13" s="7">
        <f>$B13 * IFERROR(VLOOKUP("buildings|SO2|Non-fatal heart attacks", US_national_yearly!$D:$AM, 12, FALSE) / VLOOKUP("buildings|SO2|Non-fatal heart attacks", US_national_yearly!$D:$AM, 10, FALSE), 1)</f>
        <v>4.8730425116022167E-4</v>
      </c>
      <c r="E13" s="7">
        <f>$B13 * IFERROR(VLOOKUP("buildings|SO2|Non-fatal heart attacks", US_national_yearly!$D:$AM, 13, FALSE) / VLOOKUP("buildings|SO2|Non-fatal heart attacks", US_national_yearly!$D:$AM, 10, FALSE), 1)</f>
        <v>5.0082052506976698E-4</v>
      </c>
      <c r="F13" s="7">
        <f>$B13 * IFERROR(VLOOKUP("buildings|SO2|Non-fatal heart attacks", US_national_yearly!$D:$AM, 14, FALSE) / VLOOKUP("buildings|SO2|Non-fatal heart attacks", US_national_yearly!$D:$AM, 10, FALSE), 1)</f>
        <v>5.143367989793124E-4</v>
      </c>
      <c r="G13" s="7">
        <f>$B13 * IFERROR(VLOOKUP("buildings|SO2|Non-fatal heart attacks", US_national_yearly!$D:$AM, 15, FALSE) / VLOOKUP("buildings|SO2|Non-fatal heart attacks", US_national_yearly!$D:$AM, 10, FALSE), 1)</f>
        <v>5.2708482518461816E-4</v>
      </c>
      <c r="H13" s="7">
        <f>$B13 * IFERROR(VLOOKUP("buildings|SO2|Non-fatal heart attacks", US_national_yearly!$D:$AM, 16, FALSE) / VLOOKUP("buildings|SO2|Non-fatal heart attacks", US_national_yearly!$D:$AM, 10, FALSE), 1)</f>
        <v>5.3983285138992413E-4</v>
      </c>
      <c r="I13" s="7">
        <f>$B13 * IFERROR(VLOOKUP("buildings|SO2|Non-fatal heart attacks", US_national_yearly!$D:$AM, 17, FALSE) / VLOOKUP("buildings|SO2|Non-fatal heart attacks", US_national_yearly!$D:$AM, 10, FALSE), 1)</f>
        <v>5.5009416749796287E-4</v>
      </c>
      <c r="J13" s="7">
        <f>$B13 * IFERROR(VLOOKUP("buildings|SO2|Non-fatal heart attacks", US_national_yearly!$D:$AM, 18, FALSE) / VLOOKUP("buildings|SO2|Non-fatal heart attacks", US_national_yearly!$D:$AM, 10, FALSE), 1)</f>
        <v>5.6035548360600172E-4</v>
      </c>
      <c r="K13" s="7">
        <f>$B13 * IFERROR(VLOOKUP("buildings|SO2|Non-fatal heart attacks", US_national_yearly!$D:$AM, 19, FALSE) / VLOOKUP("buildings|SO2|Non-fatal heart attacks", US_national_yearly!$D:$AM, 10, FALSE), 1)</f>
        <v>5.7061679971404057E-4</v>
      </c>
      <c r="L13" s="7">
        <f>$B13 * IFERROR(VLOOKUP("buildings|SO2|Non-fatal heart attacks", US_national_yearly!$D:$AM, 20, FALSE) / VLOOKUP("buildings|SO2|Non-fatal heart attacks", US_national_yearly!$D:$AM, 10, FALSE), 1)</f>
        <v>5.8087811582207952E-4</v>
      </c>
      <c r="M13" s="7">
        <f>$B13 * IFERROR(VLOOKUP("buildings|SO2|Non-fatal heart attacks", US_national_yearly!$D:$AM, 21, FALSE) / VLOOKUP("buildings|SO2|Non-fatal heart attacks", US_national_yearly!$D:$AM, 10, FALSE), 1)</f>
        <v>5.9113943193011837E-4</v>
      </c>
      <c r="N13" s="7">
        <f>$B13 * IFERROR(VLOOKUP("buildings|SO2|Non-fatal heart attacks", US_national_yearly!$D:$AM, 22, FALSE) / VLOOKUP("buildings|SO2|Non-fatal heart attacks", US_national_yearly!$D:$AM, 10, FALSE), 1)</f>
        <v>5.9779950309009062E-4</v>
      </c>
      <c r="O13" s="7">
        <f>$B13 * IFERROR(VLOOKUP("buildings|SO2|Non-fatal heart attacks", US_national_yearly!$D:$AM, 23, FALSE) / VLOOKUP("buildings|SO2|Non-fatal heart attacks", US_national_yearly!$D:$AM, 10, FALSE), 1)</f>
        <v>6.0445957425006298E-4</v>
      </c>
      <c r="P13" s="7">
        <f>$B13 * IFERROR(VLOOKUP("buildings|SO2|Non-fatal heart attacks", US_national_yearly!$D:$AM, 24, FALSE) / VLOOKUP("buildings|SO2|Non-fatal heart attacks", US_national_yearly!$D:$AM, 10, FALSE), 1)</f>
        <v>6.1111964541003534E-4</v>
      </c>
      <c r="Q13" s="7">
        <f>$B13 * IFERROR(VLOOKUP("buildings|SO2|Non-fatal heart attacks", US_national_yearly!$D:$AM, 25, FALSE) / VLOOKUP("buildings|SO2|Non-fatal heart attacks", US_national_yearly!$D:$AM, 10, FALSE), 1)</f>
        <v>6.1777971657000759E-4</v>
      </c>
      <c r="R13" s="7">
        <f>$B13 * IFERROR(VLOOKUP("buildings|SO2|Non-fatal heart attacks", US_national_yearly!$D:$AM, 26, FALSE) / VLOOKUP("buildings|SO2|Non-fatal heart attacks", US_national_yearly!$D:$AM, 10, FALSE), 1)</f>
        <v>6.2443978772997995E-4</v>
      </c>
      <c r="S13" s="7">
        <f>$B13 * IFERROR(VLOOKUP("buildings|SO2|Non-fatal heart attacks", US_national_yearly!$D:$AM, 27, FALSE) / VLOOKUP("buildings|SO2|Non-fatal heart attacks", US_national_yearly!$D:$AM, 10, FALSE), 1)</f>
        <v>6.2791766598467146E-4</v>
      </c>
      <c r="T13" s="7">
        <f>$B13 * IFERROR(VLOOKUP("buildings|SO2|Non-fatal heart attacks", US_national_yearly!$D:$AM, 28, FALSE) / VLOOKUP("buildings|SO2|Non-fatal heart attacks", US_national_yearly!$D:$AM, 10, FALSE), 1)</f>
        <v>6.3139554423936298E-4</v>
      </c>
      <c r="U13" s="7">
        <f>$B13 * IFERROR(VLOOKUP("buildings|SO2|Non-fatal heart attacks", US_national_yearly!$D:$AM, 29, FALSE) / VLOOKUP("buildings|SO2|Non-fatal heart attacks", US_national_yearly!$D:$AM, 10, FALSE), 1)</f>
        <v>6.3487342249405438E-4</v>
      </c>
      <c r="V13" s="7">
        <f>$B13 * IFERROR(VLOOKUP("buildings|SO2|Non-fatal heart attacks", US_national_yearly!$D:$AM, 30, FALSE) / VLOOKUP("buildings|SO2|Non-fatal heart attacks", US_national_yearly!$D:$AM, 10, FALSE), 1)</f>
        <v>6.383513007487459E-4</v>
      </c>
      <c r="W13" s="7">
        <f>$B13 * IFERROR(VLOOKUP("buildings|SO2|Non-fatal heart attacks", US_national_yearly!$D:$AM, 31, FALSE) / VLOOKUP("buildings|SO2|Non-fatal heart attacks", US_national_yearly!$D:$AM, 10, FALSE), 1)</f>
        <v>6.418291790034373E-4</v>
      </c>
      <c r="X13" s="7">
        <f>$B13 * IFERROR(VLOOKUP("buildings|SO2|Non-fatal heart attacks", US_national_yearly!$D:$AM, 32, FALSE) / VLOOKUP("buildings|SO2|Non-fatal heart attacks", US_national_yearly!$D:$AM, 10, FALSE), 1)</f>
        <v>6.444559280576682E-4</v>
      </c>
      <c r="Y13" s="7">
        <f>$B13 * IFERROR(VLOOKUP("buildings|SO2|Non-fatal heart attacks", US_national_yearly!$D:$AM, 33, FALSE) / VLOOKUP("buildings|SO2|Non-fatal heart attacks", US_national_yearly!$D:$AM, 10, FALSE), 1)</f>
        <v>6.470826771118991E-4</v>
      </c>
      <c r="Z13" s="7">
        <f>$B13 * IFERROR(VLOOKUP("buildings|SO2|Non-fatal heart attacks", US_national_yearly!$D:$AM, 34, FALSE) / VLOOKUP("buildings|SO2|Non-fatal heart attacks", US_national_yearly!$D:$AM, 10, FALSE), 1)</f>
        <v>6.4970942616612989E-4</v>
      </c>
      <c r="AA13" s="7">
        <f>$B13 * IFERROR(VLOOKUP("buildings|SO2|Non-fatal heart attacks", US_national_yearly!$D:$AM, 35, FALSE) / VLOOKUP("buildings|SO2|Non-fatal heart attacks", US_national_yearly!$D:$AM, 10, FALSE), 1)</f>
        <v>6.5233617522036079E-4</v>
      </c>
      <c r="AB13" s="7">
        <f>$B13 * IFERROR(VLOOKUP("buildings|SO2|Non-fatal heart attacks", US_national_yearly!$D:$AM, 36, FALSE) / VLOOKUP("buildings|SO2|Non-fatal heart attacks", US_national_yearly!$D:$AM, 10, FALSE), 1)</f>
        <v>6.5496292427459158E-4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0.31913961305969346</v>
      </c>
      <c r="C14" s="7">
        <f>$B14 * IFERROR(VLOOKUP("buildings|SO2|Minor restricted activity days", US_national_yearly!$D:$AM, 11, FALSE) / VLOOKUP("buildings|SO2|Minor restricted activity days", US_national_yearly!$D:$AM, 10, FALSE), 1)</f>
        <v>0.31994749817842721</v>
      </c>
      <c r="D14" s="7">
        <f>$B14 * IFERROR(VLOOKUP("buildings|SO2|Minor restricted activity days", US_national_yearly!$D:$AM, 12, FALSE) / VLOOKUP("buildings|SO2|Minor restricted activity days", US_national_yearly!$D:$AM, 10, FALSE), 1)</f>
        <v>0.32075538329716108</v>
      </c>
      <c r="E14" s="7">
        <f>$B14 * IFERROR(VLOOKUP("buildings|SO2|Minor restricted activity days", US_national_yearly!$D:$AM, 13, FALSE) / VLOOKUP("buildings|SO2|Minor restricted activity days", US_national_yearly!$D:$AM, 10, FALSE), 1)</f>
        <v>0.32156326841589494</v>
      </c>
      <c r="F14" s="7">
        <f>$B14 * IFERROR(VLOOKUP("buildings|SO2|Minor restricted activity days", US_national_yearly!$D:$AM, 14, FALSE) / VLOOKUP("buildings|SO2|Minor restricted activity days", US_national_yearly!$D:$AM, 10, FALSE), 1)</f>
        <v>0.32237115353462875</v>
      </c>
      <c r="G14" s="7">
        <f>$B14 * IFERROR(VLOOKUP("buildings|SO2|Minor restricted activity days", US_national_yearly!$D:$AM, 15, FALSE) / VLOOKUP("buildings|SO2|Minor restricted activity days", US_national_yearly!$D:$AM, 10, FALSE), 1)</f>
        <v>0.3235590647625276</v>
      </c>
      <c r="H14" s="7">
        <f>$B14 * IFERROR(VLOOKUP("buildings|SO2|Minor restricted activity days", US_national_yearly!$D:$AM, 16, FALSE) / VLOOKUP("buildings|SO2|Minor restricted activity days", US_national_yearly!$D:$AM, 10, FALSE), 1)</f>
        <v>0.32474697599042646</v>
      </c>
      <c r="I14" s="7">
        <f>$B14 * IFERROR(VLOOKUP("buildings|SO2|Minor restricted activity days", US_national_yearly!$D:$AM, 17, FALSE) / VLOOKUP("buildings|SO2|Minor restricted activity days", US_national_yearly!$D:$AM, 10, FALSE), 1)</f>
        <v>0.32677010835766446</v>
      </c>
      <c r="J14" s="7">
        <f>$B14 * IFERROR(VLOOKUP("buildings|SO2|Minor restricted activity days", US_national_yearly!$D:$AM, 18, FALSE) / VLOOKUP("buildings|SO2|Minor restricted activity days", US_national_yearly!$D:$AM, 10, FALSE), 1)</f>
        <v>0.32879324072490251</v>
      </c>
      <c r="K14" s="7">
        <f>$B14 * IFERROR(VLOOKUP("buildings|SO2|Minor restricted activity days", US_national_yearly!$D:$AM, 19, FALSE) / VLOOKUP("buildings|SO2|Minor restricted activity days", US_national_yearly!$D:$AM, 10, FALSE), 1)</f>
        <v>0.33081637309214051</v>
      </c>
      <c r="L14" s="7">
        <f>$B14 * IFERROR(VLOOKUP("buildings|SO2|Minor restricted activity days", US_national_yearly!$D:$AM, 20, FALSE) / VLOOKUP("buildings|SO2|Minor restricted activity days", US_national_yearly!$D:$AM, 10, FALSE), 1)</f>
        <v>0.33283950545937852</v>
      </c>
      <c r="M14" s="7">
        <f>$B14 * IFERROR(VLOOKUP("buildings|SO2|Minor restricted activity days", US_national_yearly!$D:$AM, 21, FALSE) / VLOOKUP("buildings|SO2|Minor restricted activity days", US_national_yearly!$D:$AM, 10, FALSE), 1)</f>
        <v>0.33486263782661652</v>
      </c>
      <c r="N14" s="7">
        <f>$B14 * IFERROR(VLOOKUP("buildings|SO2|Minor restricted activity days", US_national_yearly!$D:$AM, 22, FALSE) / VLOOKUP("buildings|SO2|Minor restricted activity days", US_national_yearly!$D:$AM, 10, FALSE), 1)</f>
        <v>0.33762916502485152</v>
      </c>
      <c r="O14" s="7">
        <f>$B14 * IFERROR(VLOOKUP("buildings|SO2|Minor restricted activity days", US_national_yearly!$D:$AM, 23, FALSE) / VLOOKUP("buildings|SO2|Minor restricted activity days", US_national_yearly!$D:$AM, 10, FALSE), 1)</f>
        <v>0.34039569222308647</v>
      </c>
      <c r="P14" s="7">
        <f>$B14 * IFERROR(VLOOKUP("buildings|SO2|Minor restricted activity days", US_national_yearly!$D:$AM, 24, FALSE) / VLOOKUP("buildings|SO2|Minor restricted activity days", US_national_yearly!$D:$AM, 10, FALSE), 1)</f>
        <v>0.34316221942132141</v>
      </c>
      <c r="Q14" s="7">
        <f>$B14 * IFERROR(VLOOKUP("buildings|SO2|Minor restricted activity days", US_national_yearly!$D:$AM, 25, FALSE) / VLOOKUP("buildings|SO2|Minor restricted activity days", US_national_yearly!$D:$AM, 10, FALSE), 1)</f>
        <v>0.34592874661955636</v>
      </c>
      <c r="R14" s="7">
        <f>$B14 * IFERROR(VLOOKUP("buildings|SO2|Minor restricted activity days", US_national_yearly!$D:$AM, 26, FALSE) / VLOOKUP("buildings|SO2|Minor restricted activity days", US_national_yearly!$D:$AM, 10, FALSE), 1)</f>
        <v>0.34869527381779136</v>
      </c>
      <c r="S14" s="7">
        <f>$B14 * IFERROR(VLOOKUP("buildings|SO2|Minor restricted activity days", US_national_yearly!$D:$AM, 27, FALSE) / VLOOKUP("buildings|SO2|Minor restricted activity days", US_national_yearly!$D:$AM, 10, FALSE), 1)</f>
        <v>0.35151556868864686</v>
      </c>
      <c r="T14" s="7">
        <f>$B14 * IFERROR(VLOOKUP("buildings|SO2|Minor restricted activity days", US_national_yearly!$D:$AM, 28, FALSE) / VLOOKUP("buildings|SO2|Minor restricted activity days", US_national_yearly!$D:$AM, 10, FALSE), 1)</f>
        <v>0.35433586355950242</v>
      </c>
      <c r="U14" s="7">
        <f>$B14 * IFERROR(VLOOKUP("buildings|SO2|Minor restricted activity days", US_national_yearly!$D:$AM, 29, FALSE) / VLOOKUP("buildings|SO2|Minor restricted activity days", US_national_yearly!$D:$AM, 10, FALSE), 1)</f>
        <v>0.35715615843035797</v>
      </c>
      <c r="V14" s="7">
        <f>$B14 * IFERROR(VLOOKUP("buildings|SO2|Minor restricted activity days", US_national_yearly!$D:$AM, 30, FALSE) / VLOOKUP("buildings|SO2|Minor restricted activity days", US_national_yearly!$D:$AM, 10, FALSE), 1)</f>
        <v>0.35997645330121347</v>
      </c>
      <c r="W14" s="7">
        <f>$B14 * IFERROR(VLOOKUP("buildings|SO2|Minor restricted activity days", US_national_yearly!$D:$AM, 31, FALSE) / VLOOKUP("buildings|SO2|Minor restricted activity days", US_national_yearly!$D:$AM, 10, FALSE), 1)</f>
        <v>0.36279674817206908</v>
      </c>
      <c r="X14" s="7">
        <f>$B14 * IFERROR(VLOOKUP("buildings|SO2|Minor restricted activity days", US_national_yearly!$D:$AM, 32, FALSE) / VLOOKUP("buildings|SO2|Minor restricted activity days", US_national_yearly!$D:$AM, 10, FALSE), 1)</f>
        <v>0.36527703429777464</v>
      </c>
      <c r="Y14" s="7">
        <f>$B14 * IFERROR(VLOOKUP("buildings|SO2|Minor restricted activity days", US_national_yearly!$D:$AM, 33, FALSE) / VLOOKUP("buildings|SO2|Minor restricted activity days", US_national_yearly!$D:$AM, 10, FALSE), 1)</f>
        <v>0.36775732042348031</v>
      </c>
      <c r="Z14" s="7">
        <f>$B14 * IFERROR(VLOOKUP("buildings|SO2|Minor restricted activity days", US_national_yearly!$D:$AM, 34, FALSE) / VLOOKUP("buildings|SO2|Minor restricted activity days", US_national_yearly!$D:$AM, 10, FALSE), 1)</f>
        <v>0.37023760654918586</v>
      </c>
      <c r="AA14" s="7">
        <f>$B14 * IFERROR(VLOOKUP("buildings|SO2|Minor restricted activity days", US_national_yearly!$D:$AM, 35, FALSE) / VLOOKUP("buildings|SO2|Minor restricted activity days", US_national_yearly!$D:$AM, 10, FALSE), 1)</f>
        <v>0.37271789267489153</v>
      </c>
      <c r="AB14" s="7">
        <f>$B14 * IFERROR(VLOOKUP("buildings|SO2|Minor restricted activity days", US_national_yearly!$D:$AM, 36, FALSE) / VLOOKUP("buildings|SO2|Minor restricted activity days", US_national_yearly!$D:$AM, 10, FALSE), 1)</f>
        <v>0.37519817880059708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5.3442503173200984E-2</v>
      </c>
      <c r="C15" s="7">
        <f>$B15 * IFERROR(VLOOKUP("buildings|SO2|Work loss days", US_national_yearly!$D:$AM, 11, FALSE) / VLOOKUP("buildings|SO2|Work loss days", US_national_yearly!$D:$AM, 10, FALSE), 1)</f>
        <v>5.3616136995682205E-2</v>
      </c>
      <c r="D15" s="7">
        <f>$B15 * IFERROR(VLOOKUP("buildings|SO2|Work loss days", US_national_yearly!$D:$AM, 12, FALSE) / VLOOKUP("buildings|SO2|Work loss days", US_national_yearly!$D:$AM, 10, FALSE), 1)</f>
        <v>5.378977081816342E-2</v>
      </c>
      <c r="E15" s="7">
        <f>$B15 * IFERROR(VLOOKUP("buildings|SO2|Work loss days", US_national_yearly!$D:$AM, 13, FALSE) / VLOOKUP("buildings|SO2|Work loss days", US_national_yearly!$D:$AM, 10, FALSE), 1)</f>
        <v>5.3963404640644641E-2</v>
      </c>
      <c r="F15" s="7">
        <f>$B15 * IFERROR(VLOOKUP("buildings|SO2|Work loss days", US_national_yearly!$D:$AM, 14, FALSE) / VLOOKUP("buildings|SO2|Work loss days", US_national_yearly!$D:$AM, 10, FALSE), 1)</f>
        <v>5.4137038463125849E-2</v>
      </c>
      <c r="G15" s="7">
        <f>$B15 * IFERROR(VLOOKUP("buildings|SO2|Work loss days", US_national_yearly!$D:$AM, 15, FALSE) / VLOOKUP("buildings|SO2|Work loss days", US_national_yearly!$D:$AM, 10, FALSE), 1)</f>
        <v>5.4363813843942614E-2</v>
      </c>
      <c r="H15" s="7">
        <f>$B15 * IFERROR(VLOOKUP("buildings|SO2|Work loss days", US_national_yearly!$D:$AM, 16, FALSE) / VLOOKUP("buildings|SO2|Work loss days", US_national_yearly!$D:$AM, 10, FALSE), 1)</f>
        <v>5.4590589224759387E-2</v>
      </c>
      <c r="I15" s="7">
        <f>$B15 * IFERROR(VLOOKUP("buildings|SO2|Work loss days", US_national_yearly!$D:$AM, 17, FALSE) / VLOOKUP("buildings|SO2|Work loss days", US_national_yearly!$D:$AM, 10, FALSE), 1)</f>
        <v>5.4922147524622815E-2</v>
      </c>
      <c r="J15" s="7">
        <f>$B15 * IFERROR(VLOOKUP("buildings|SO2|Work loss days", US_national_yearly!$D:$AM, 18, FALSE) / VLOOKUP("buildings|SO2|Work loss days", US_national_yearly!$D:$AM, 10, FALSE), 1)</f>
        <v>5.5253705824486236E-2</v>
      </c>
      <c r="K15" s="7">
        <f>$B15 * IFERROR(VLOOKUP("buildings|SO2|Work loss days", US_national_yearly!$D:$AM, 19, FALSE) / VLOOKUP("buildings|SO2|Work loss days", US_national_yearly!$D:$AM, 10, FALSE), 1)</f>
        <v>5.5585264124349665E-2</v>
      </c>
      <c r="L15" s="7">
        <f>$B15 * IFERROR(VLOOKUP("buildings|SO2|Work loss days", US_national_yearly!$D:$AM, 20, FALSE) / VLOOKUP("buildings|SO2|Work loss days", US_national_yearly!$D:$AM, 10, FALSE), 1)</f>
        <v>5.5916822424213086E-2</v>
      </c>
      <c r="M15" s="7">
        <f>$B15 * IFERROR(VLOOKUP("buildings|SO2|Work loss days", US_national_yearly!$D:$AM, 21, FALSE) / VLOOKUP("buildings|SO2|Work loss days", US_national_yearly!$D:$AM, 10, FALSE), 1)</f>
        <v>5.6248380724076501E-2</v>
      </c>
      <c r="N15" s="7">
        <f>$B15 * IFERROR(VLOOKUP("buildings|SO2|Work loss days", US_national_yearly!$D:$AM, 22, FALSE) / VLOOKUP("buildings|SO2|Work loss days", US_national_yearly!$D:$AM, 10, FALSE), 1)</f>
        <v>5.6664149400754177E-2</v>
      </c>
      <c r="O15" s="7">
        <f>$B15 * IFERROR(VLOOKUP("buildings|SO2|Work loss days", US_national_yearly!$D:$AM, 23, FALSE) / VLOOKUP("buildings|SO2|Work loss days", US_national_yearly!$D:$AM, 10, FALSE), 1)</f>
        <v>5.7079918077431832E-2</v>
      </c>
      <c r="P15" s="7">
        <f>$B15 * IFERROR(VLOOKUP("buildings|SO2|Work loss days", US_national_yearly!$D:$AM, 24, FALSE) / VLOOKUP("buildings|SO2|Work loss days", US_national_yearly!$D:$AM, 10, FALSE), 1)</f>
        <v>5.7495686754109494E-2</v>
      </c>
      <c r="Q15" s="7">
        <f>$B15 * IFERROR(VLOOKUP("buildings|SO2|Work loss days", US_national_yearly!$D:$AM, 25, FALSE) / VLOOKUP("buildings|SO2|Work loss days", US_national_yearly!$D:$AM, 10, FALSE), 1)</f>
        <v>5.7911455430787163E-2</v>
      </c>
      <c r="R15" s="7">
        <f>$B15 * IFERROR(VLOOKUP("buildings|SO2|Work loss days", US_national_yearly!$D:$AM, 26, FALSE) / VLOOKUP("buildings|SO2|Work loss days", US_national_yearly!$D:$AM, 10, FALSE), 1)</f>
        <v>5.8327224107464812E-2</v>
      </c>
      <c r="S15" s="7">
        <f>$B15 * IFERROR(VLOOKUP("buildings|SO2|Work loss days", US_national_yearly!$D:$AM, 27, FALSE) / VLOOKUP("buildings|SO2|Work loss days", US_national_yearly!$D:$AM, 10, FALSE), 1)</f>
        <v>5.8791674138373558E-2</v>
      </c>
      <c r="T15" s="7">
        <f>$B15 * IFERROR(VLOOKUP("buildings|SO2|Work loss days", US_national_yearly!$D:$AM, 28, FALSE) / VLOOKUP("buildings|SO2|Work loss days", US_national_yearly!$D:$AM, 10, FALSE), 1)</f>
        <v>5.9256124169282304E-2</v>
      </c>
      <c r="U15" s="7">
        <f>$B15 * IFERROR(VLOOKUP("buildings|SO2|Work loss days", US_national_yearly!$D:$AM, 29, FALSE) / VLOOKUP("buildings|SO2|Work loss days", US_national_yearly!$D:$AM, 10, FALSE), 1)</f>
        <v>5.972057420019105E-2</v>
      </c>
      <c r="V15" s="7">
        <f>$B15 * IFERROR(VLOOKUP("buildings|SO2|Work loss days", US_national_yearly!$D:$AM, 30, FALSE) / VLOOKUP("buildings|SO2|Work loss days", US_national_yearly!$D:$AM, 10, FALSE), 1)</f>
        <v>6.0185024231099789E-2</v>
      </c>
      <c r="W15" s="7">
        <f>$B15 * IFERROR(VLOOKUP("buildings|SO2|Work loss days", US_national_yearly!$D:$AM, 31, FALSE) / VLOOKUP("buildings|SO2|Work loss days", US_national_yearly!$D:$AM, 10, FALSE), 1)</f>
        <v>6.0649474262008535E-2</v>
      </c>
      <c r="X15" s="7">
        <f>$B15 * IFERROR(VLOOKUP("buildings|SO2|Work loss days", US_national_yearly!$D:$AM, 32, FALSE) / VLOOKUP("buildings|SO2|Work loss days", US_national_yearly!$D:$AM, 10, FALSE), 1)</f>
        <v>6.1066495643205029E-2</v>
      </c>
      <c r="Y15" s="7">
        <f>$B15 * IFERROR(VLOOKUP("buildings|SO2|Work loss days", US_national_yearly!$D:$AM, 33, FALSE) / VLOOKUP("buildings|SO2|Work loss days", US_national_yearly!$D:$AM, 10, FALSE), 1)</f>
        <v>6.1483517024401524E-2</v>
      </c>
      <c r="Z15" s="7">
        <f>$B15 * IFERROR(VLOOKUP("buildings|SO2|Work loss days", US_national_yearly!$D:$AM, 34, FALSE) / VLOOKUP("buildings|SO2|Work loss days", US_national_yearly!$D:$AM, 10, FALSE), 1)</f>
        <v>6.1900538405598012E-2</v>
      </c>
      <c r="AA15" s="7">
        <f>$B15 * IFERROR(VLOOKUP("buildings|SO2|Work loss days", US_national_yearly!$D:$AM, 35, FALSE) / VLOOKUP("buildings|SO2|Work loss days", US_national_yearly!$D:$AM, 10, FALSE), 1)</f>
        <v>6.2317559786794506E-2</v>
      </c>
      <c r="AB15" s="7">
        <f>$B15 * IFERROR(VLOOKUP("buildings|SO2|Work loss days", US_national_yearly!$D:$AM, 36, FALSE) / VLOOKUP("buildings|SO2|Work loss days", US_national_yearly!$D:$AM, 10, FALSE), 1)</f>
        <v>6.2734581167990994E-2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1.1239663646751901E-4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1.1579656261771048E-4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1.1919648876790195E-4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1.2259641491809344E-4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1.2599634106828491E-4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1.2925326666898842E-4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1.3251019226969188E-4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1.3530137094850295E-4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1.3809254962731394E-4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1.40883728306125E-4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1.4367490698493602E-4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1.4646608566374703E-4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1.4834030620824353E-4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1.5021452675274003E-4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1.5208874729723655E-4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1.5396296784173303E-4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1.5583718838622953E-4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1.5682280137819545E-4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1.5780841437016134E-4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1.5879402736212721E-4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1.597796403540931E-4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1.60765253346059E-4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1.614270946858643E-4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1.6208893602566955E-4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1.6275077736547483E-4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1.6341261870528014E-4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1.6407446004508542E-4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1.1907973659910878E-2</v>
      </c>
      <c r="C2" s="7">
        <f>$B2 * IFERROR(VLOOKUP("industry|PM25|Premature mortality", US_national_yearly!$D:$AM, 11, FALSE) / VLOOKUP("industry|PM25|Premature mortality", US_national_yearly!$D:$AM, 10, FALSE), 1)</f>
        <v>1.2056266845977883E-2</v>
      </c>
      <c r="D2" s="7">
        <f>$B2 * IFERROR(VLOOKUP("industry|PM25|Premature mortality", US_national_yearly!$D:$AM, 12, FALSE) / VLOOKUP("industry|PM25|Premature mortality", US_national_yearly!$D:$AM, 10, FALSE), 1)</f>
        <v>1.2204560032044884E-2</v>
      </c>
      <c r="E2" s="7">
        <f>$B2 * IFERROR(VLOOKUP("industry|PM25|Premature mortality", US_national_yearly!$D:$AM, 13, FALSE) / VLOOKUP("industry|PM25|Premature mortality", US_national_yearly!$D:$AM, 10, FALSE), 1)</f>
        <v>1.2352853218111887E-2</v>
      </c>
      <c r="F2" s="7">
        <f>$B2 * IFERROR(VLOOKUP("industry|PM25|Premature mortality", US_national_yearly!$D:$AM, 14, FALSE) / VLOOKUP("industry|PM25|Premature mortality", US_national_yearly!$D:$AM, 10, FALSE), 1)</f>
        <v>1.2501146404178888E-2</v>
      </c>
      <c r="G2" s="7">
        <f>$B2 * IFERROR(VLOOKUP("industry|PM25|Premature mortality", US_national_yearly!$D:$AM, 15, FALSE) / VLOOKUP("industry|PM25|Premature mortality", US_national_yearly!$D:$AM, 10, FALSE), 1)</f>
        <v>1.2789648494316188E-2</v>
      </c>
      <c r="H2" s="7">
        <f>$B2 * IFERROR(VLOOKUP("industry|PM25|Premature mortality", US_national_yearly!$D:$AM, 16, FALSE) / VLOOKUP("industry|PM25|Premature mortality", US_national_yearly!$D:$AM, 10, FALSE), 1)</f>
        <v>1.3078150584453486E-2</v>
      </c>
      <c r="I2" s="7">
        <f>$B2 * IFERROR(VLOOKUP("industry|PM25|Premature mortality", US_national_yearly!$D:$AM, 17, FALSE) / VLOOKUP("industry|PM25|Premature mortality", US_national_yearly!$D:$AM, 10, FALSE), 1)</f>
        <v>1.3268647555496752E-2</v>
      </c>
      <c r="J2" s="7">
        <f>$B2 * IFERROR(VLOOKUP("industry|PM25|Premature mortality", US_national_yearly!$D:$AM, 18, FALSE) / VLOOKUP("industry|PM25|Premature mortality", US_national_yearly!$D:$AM, 10, FALSE), 1)</f>
        <v>1.3459144526540016E-2</v>
      </c>
      <c r="K2" s="7">
        <f>$B2 * IFERROR(VLOOKUP("industry|PM25|Premature mortality", US_national_yearly!$D:$AM, 19, FALSE) / VLOOKUP("industry|PM25|Premature mortality", US_national_yearly!$D:$AM, 10, FALSE), 1)</f>
        <v>1.3649641497583279E-2</v>
      </c>
      <c r="L2" s="7">
        <f>$B2 * IFERROR(VLOOKUP("industry|PM25|Premature mortality", US_national_yearly!$D:$AM, 20, FALSE) / VLOOKUP("industry|PM25|Premature mortality", US_national_yearly!$D:$AM, 10, FALSE), 1)</f>
        <v>1.3840138468626544E-2</v>
      </c>
      <c r="M2" s="7">
        <f>$B2 * IFERROR(VLOOKUP("industry|PM25|Premature mortality", US_national_yearly!$D:$AM, 21, FALSE) / VLOOKUP("industry|PM25|Premature mortality", US_national_yearly!$D:$AM, 10, FALSE), 1)</f>
        <v>1.4030635439669809E-2</v>
      </c>
      <c r="N2" s="7">
        <f>$B2 * IFERROR(VLOOKUP("industry|PM25|Premature mortality", US_national_yearly!$D:$AM, 22, FALSE) / VLOOKUP("industry|PM25|Premature mortality", US_national_yearly!$D:$AM, 10, FALSE), 1)</f>
        <v>1.4179048867006421E-2</v>
      </c>
      <c r="O2" s="7">
        <f>$B2 * IFERROR(VLOOKUP("industry|PM25|Premature mortality", US_national_yearly!$D:$AM, 23, FALSE) / VLOOKUP("industry|PM25|Premature mortality", US_national_yearly!$D:$AM, 10, FALSE), 1)</f>
        <v>1.4327462294343032E-2</v>
      </c>
      <c r="P2" s="7">
        <f>$B2 * IFERROR(VLOOKUP("industry|PM25|Premature mortality", US_national_yearly!$D:$AM, 24, FALSE) / VLOOKUP("industry|PM25|Premature mortality", US_national_yearly!$D:$AM, 10, FALSE), 1)</f>
        <v>1.4475875721679644E-2</v>
      </c>
      <c r="Q2" s="7">
        <f>$B2 * IFERROR(VLOOKUP("industry|PM25|Premature mortality", US_national_yearly!$D:$AM, 25, FALSE) / VLOOKUP("industry|PM25|Premature mortality", US_national_yearly!$D:$AM, 10, FALSE), 1)</f>
        <v>1.4624289149016256E-2</v>
      </c>
      <c r="R2" s="7">
        <f>$B2 * IFERROR(VLOOKUP("industry|PM25|Premature mortality", US_national_yearly!$D:$AM, 26, FALSE) / VLOOKUP("industry|PM25|Premature mortality", US_national_yearly!$D:$AM, 10, FALSE), 1)</f>
        <v>1.4772702576352865E-2</v>
      </c>
      <c r="S2" s="7">
        <f>$B2 * IFERROR(VLOOKUP("industry|PM25|Premature mortality", US_national_yearly!$D:$AM, 27, FALSE) / VLOOKUP("industry|PM25|Premature mortality", US_national_yearly!$D:$AM, 10, FALSE), 1)</f>
        <v>1.485284032250167E-2</v>
      </c>
      <c r="T2" s="7">
        <f>$B2 * IFERROR(VLOOKUP("industry|PM25|Premature mortality", US_national_yearly!$D:$AM, 28, FALSE) / VLOOKUP("industry|PM25|Premature mortality", US_national_yearly!$D:$AM, 10, FALSE), 1)</f>
        <v>1.4932978068650474E-2</v>
      </c>
      <c r="U2" s="7">
        <f>$B2 * IFERROR(VLOOKUP("industry|PM25|Premature mortality", US_national_yearly!$D:$AM, 29, FALSE) / VLOOKUP("industry|PM25|Premature mortality", US_national_yearly!$D:$AM, 10, FALSE), 1)</f>
        <v>1.5013115814799282E-2</v>
      </c>
      <c r="V2" s="7">
        <f>$B2 * IFERROR(VLOOKUP("industry|PM25|Premature mortality", US_national_yearly!$D:$AM, 30, FALSE) / VLOOKUP("industry|PM25|Premature mortality", US_national_yearly!$D:$AM, 10, FALSE), 1)</f>
        <v>1.5093253560948086E-2</v>
      </c>
      <c r="W2" s="7">
        <f>$B2 * IFERROR(VLOOKUP("industry|PM25|Premature mortality", US_national_yearly!$D:$AM, 31, FALSE) / VLOOKUP("industry|PM25|Premature mortality", US_national_yearly!$D:$AM, 10, FALSE), 1)</f>
        <v>1.5173391307096889E-2</v>
      </c>
      <c r="X2" s="7">
        <f>$B2 * IFERROR(VLOOKUP("industry|PM25|Premature mortality", US_national_yearly!$D:$AM, 32, FALSE) / VLOOKUP("industry|PM25|Premature mortality", US_national_yearly!$D:$AM, 10, FALSE), 1)</f>
        <v>1.5189936942797104E-2</v>
      </c>
      <c r="Y2" s="7">
        <f>$B2 * IFERROR(VLOOKUP("industry|PM25|Premature mortality", US_national_yearly!$D:$AM, 33, FALSE) / VLOOKUP("industry|PM25|Premature mortality", US_national_yearly!$D:$AM, 10, FALSE), 1)</f>
        <v>1.5206482578497325E-2</v>
      </c>
      <c r="Z2" s="7">
        <f>$B2 * IFERROR(VLOOKUP("industry|PM25|Premature mortality", US_national_yearly!$D:$AM, 34, FALSE) / VLOOKUP("industry|PM25|Premature mortality", US_national_yearly!$D:$AM, 10, FALSE), 1)</f>
        <v>1.5223028214197538E-2</v>
      </c>
      <c r="AA2" s="7">
        <f>$B2 * IFERROR(VLOOKUP("industry|PM25|Premature mortality", US_national_yearly!$D:$AM, 35, FALSE) / VLOOKUP("industry|PM25|Premature mortality", US_national_yearly!$D:$AM, 10, FALSE), 1)</f>
        <v>1.5239573849897757E-2</v>
      </c>
      <c r="AB2" s="7">
        <f>$B2 * IFERROR(VLOOKUP("industry|PM25|Premature mortality", US_national_yearly!$D:$AM, 36, FALSE) / VLOOKUP("industry|PM25|Premature mortality", US_national_yearly!$D:$AM, 10, FALSE), 1)</f>
        <v>1.5256119485597974E-2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1.602996690974803E-5</v>
      </c>
      <c r="C3" s="7">
        <f>$B3 * IFERROR(VLOOKUP("industry|PM25|Infant mortality", US_national_yearly!$D:$AM, 11, FALSE) / VLOOKUP("industry|PM25|Infant mortality", US_national_yearly!$D:$AM, 10, FALSE), 1)</f>
        <v>1.5890396410808623E-5</v>
      </c>
      <c r="D3" s="7">
        <f>$B3 * IFERROR(VLOOKUP("industry|PM25|Infant mortality", US_national_yearly!$D:$AM, 12, FALSE) / VLOOKUP("industry|PM25|Infant mortality", US_national_yearly!$D:$AM, 10, FALSE), 1)</f>
        <v>1.5750825911869213E-5</v>
      </c>
      <c r="E3" s="7">
        <f>$B3 * IFERROR(VLOOKUP("industry|PM25|Infant mortality", US_national_yearly!$D:$AM, 13, FALSE) / VLOOKUP("industry|PM25|Infant mortality", US_national_yearly!$D:$AM, 10, FALSE), 1)</f>
        <v>1.5611255412929803E-5</v>
      </c>
      <c r="F3" s="7">
        <f>$B3 * IFERROR(VLOOKUP("industry|PM25|Infant mortality", US_national_yearly!$D:$AM, 14, FALSE) / VLOOKUP("industry|PM25|Infant mortality", US_national_yearly!$D:$AM, 10, FALSE), 1)</f>
        <v>1.5471684913990396E-5</v>
      </c>
      <c r="G3" s="7">
        <f>$B3 * IFERROR(VLOOKUP("industry|PM25|Infant mortality", US_national_yearly!$D:$AM, 15, FALSE) / VLOOKUP("industry|PM25|Infant mortality", US_national_yearly!$D:$AM, 10, FALSE), 1)</f>
        <v>1.0279929011959816E-5</v>
      </c>
      <c r="H3" s="7">
        <f>$B3 * IFERROR(VLOOKUP("industry|PM25|Infant mortality", US_national_yearly!$D:$AM, 16, FALSE) / VLOOKUP("industry|PM25|Infant mortality", US_national_yearly!$D:$AM, 10, FALSE), 1)</f>
        <v>5.0881731099292362E-6</v>
      </c>
      <c r="I3" s="7">
        <f>$B3 * IFERROR(VLOOKUP("industry|PM25|Infant mortality", US_national_yearly!$D:$AM, 17, FALSE) / VLOOKUP("industry|PM25|Infant mortality", US_national_yearly!$D:$AM, 10, FALSE), 1)</f>
        <v>5.0543062993494554E-6</v>
      </c>
      <c r="J3" s="7">
        <f>$B3 * IFERROR(VLOOKUP("industry|PM25|Infant mortality", US_national_yearly!$D:$AM, 18, FALSE) / VLOOKUP("industry|PM25|Infant mortality", US_national_yearly!$D:$AM, 10, FALSE), 1)</f>
        <v>5.0204394887696746E-6</v>
      </c>
      <c r="K3" s="7">
        <f>$B3 * IFERROR(VLOOKUP("industry|PM25|Infant mortality", US_national_yearly!$D:$AM, 19, FALSE) / VLOOKUP("industry|PM25|Infant mortality", US_national_yearly!$D:$AM, 10, FALSE), 1)</f>
        <v>4.986572678189893E-6</v>
      </c>
      <c r="L3" s="7">
        <f>$B3 * IFERROR(VLOOKUP("industry|PM25|Infant mortality", US_national_yearly!$D:$AM, 20, FALSE) / VLOOKUP("industry|PM25|Infant mortality", US_national_yearly!$D:$AM, 10, FALSE), 1)</f>
        <v>4.9527058676101113E-6</v>
      </c>
      <c r="M3" s="7">
        <f>$B3 * IFERROR(VLOOKUP("industry|PM25|Infant mortality", US_national_yearly!$D:$AM, 21, FALSE) / VLOOKUP("industry|PM25|Infant mortality", US_national_yearly!$D:$AM, 10, FALSE), 1)</f>
        <v>4.9188390570303313E-6</v>
      </c>
      <c r="N3" s="7">
        <f>$B3 * IFERROR(VLOOKUP("industry|PM25|Infant mortality", US_national_yearly!$D:$AM, 22, FALSE) / VLOOKUP("industry|PM25|Infant mortality", US_national_yearly!$D:$AM, 10, FALSE), 1)</f>
        <v>4.8972287339597233E-6</v>
      </c>
      <c r="O3" s="7">
        <f>$B3 * IFERROR(VLOOKUP("industry|PM25|Infant mortality", US_national_yearly!$D:$AM, 23, FALSE) / VLOOKUP("industry|PM25|Infant mortality", US_national_yearly!$D:$AM, 10, FALSE), 1)</f>
        <v>4.8756184108891161E-6</v>
      </c>
      <c r="P3" s="7">
        <f>$B3 * IFERROR(VLOOKUP("industry|PM25|Infant mortality", US_national_yearly!$D:$AM, 24, FALSE) / VLOOKUP("industry|PM25|Infant mortality", US_national_yearly!$D:$AM, 10, FALSE), 1)</f>
        <v>4.8540080878185098E-6</v>
      </c>
      <c r="Q3" s="7">
        <f>$B3 * IFERROR(VLOOKUP("industry|PM25|Infant mortality", US_national_yearly!$D:$AM, 25, FALSE) / VLOOKUP("industry|PM25|Infant mortality", US_national_yearly!$D:$AM, 10, FALSE), 1)</f>
        <v>4.8323977647479026E-6</v>
      </c>
      <c r="R3" s="7">
        <f>$B3 * IFERROR(VLOOKUP("industry|PM25|Infant mortality", US_national_yearly!$D:$AM, 26, FALSE) / VLOOKUP("industry|PM25|Infant mortality", US_national_yearly!$D:$AM, 10, FALSE), 1)</f>
        <v>4.8107874416772954E-6</v>
      </c>
      <c r="S3" s="7">
        <f>$B3 * IFERROR(VLOOKUP("industry|PM25|Infant mortality", US_national_yearly!$D:$AM, 27, FALSE) / VLOOKUP("industry|PM25|Infant mortality", US_national_yearly!$D:$AM, 10, FALSE), 1)</f>
        <v>4.7842086955045061E-6</v>
      </c>
      <c r="T3" s="7">
        <f>$B3 * IFERROR(VLOOKUP("industry|PM25|Infant mortality", US_national_yearly!$D:$AM, 28, FALSE) / VLOOKUP("industry|PM25|Infant mortality", US_national_yearly!$D:$AM, 10, FALSE), 1)</f>
        <v>4.7576299493317177E-6</v>
      </c>
      <c r="U3" s="7">
        <f>$B3 * IFERROR(VLOOKUP("industry|PM25|Infant mortality", US_national_yearly!$D:$AM, 29, FALSE) / VLOOKUP("industry|PM25|Infant mortality", US_national_yearly!$D:$AM, 10, FALSE), 1)</f>
        <v>4.7310512031589284E-6</v>
      </c>
      <c r="V3" s="7">
        <f>$B3 * IFERROR(VLOOKUP("industry|PM25|Infant mortality", US_national_yearly!$D:$AM, 30, FALSE) / VLOOKUP("industry|PM25|Infant mortality", US_national_yearly!$D:$AM, 10, FALSE), 1)</f>
        <v>4.70447245698614E-6</v>
      </c>
      <c r="W3" s="7">
        <f>$B3 * IFERROR(VLOOKUP("industry|PM25|Infant mortality", US_national_yearly!$D:$AM, 31, FALSE) / VLOOKUP("industry|PM25|Infant mortality", US_national_yearly!$D:$AM, 10, FALSE), 1)</f>
        <v>4.6778937108133515E-6</v>
      </c>
      <c r="X3" s="7">
        <f>$B3 * IFERROR(VLOOKUP("industry|PM25|Infant mortality", US_national_yearly!$D:$AM, 32, FALSE) / VLOOKUP("industry|PM25|Infant mortality", US_national_yearly!$D:$AM, 10, FALSE), 1)</f>
        <v>4.6494909901185692E-6</v>
      </c>
      <c r="Y3" s="7">
        <f>$B3 * IFERROR(VLOOKUP("industry|PM25|Infant mortality", US_national_yearly!$D:$AM, 33, FALSE) / VLOOKUP("industry|PM25|Infant mortality", US_national_yearly!$D:$AM, 10, FALSE), 1)</f>
        <v>4.6210882694237877E-6</v>
      </c>
      <c r="Z3" s="7">
        <f>$B3 * IFERROR(VLOOKUP("industry|PM25|Infant mortality", US_national_yearly!$D:$AM, 34, FALSE) / VLOOKUP("industry|PM25|Infant mortality", US_national_yearly!$D:$AM, 10, FALSE), 1)</f>
        <v>4.5926855487290063E-6</v>
      </c>
      <c r="AA3" s="7">
        <f>$B3 * IFERROR(VLOOKUP("industry|PM25|Infant mortality", US_national_yearly!$D:$AM, 35, FALSE) / VLOOKUP("industry|PM25|Infant mortality", US_national_yearly!$D:$AM, 10, FALSE), 1)</f>
        <v>4.5642828280342248E-6</v>
      </c>
      <c r="AB3" s="7">
        <f>$B3 * IFERROR(VLOOKUP("industry|PM25|Infant mortality", US_national_yearly!$D:$AM, 36, FALSE) / VLOOKUP("industry|PM25|Infant mortality", US_national_yearly!$D:$AM, 10, FALSE), 1)</f>
        <v>4.5358801073394434E-6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2.3702466124114786E-2</v>
      </c>
      <c r="C6" s="7">
        <f>$B6 * IFERROR(VLOOKUP("industry|PM25|Asthma symptoms cough", US_national_yearly!$D:$AM, 11, FALSE) / VLOOKUP("industry|PM25|Asthma symptoms cough", US_national_yearly!$D:$AM, 10, FALSE), 1)</f>
        <v>2.3702466124114786E-2</v>
      </c>
      <c r="D6" s="7">
        <f>$B6 * IFERROR(VLOOKUP("industry|PM25|Asthma symptoms cough", US_national_yearly!$D:$AM, 12, FALSE) / VLOOKUP("industry|PM25|Asthma symptoms cough", US_national_yearly!$D:$AM, 10, FALSE), 1)</f>
        <v>2.3702466124114786E-2</v>
      </c>
      <c r="E6" s="7">
        <f>$B6 * IFERROR(VLOOKUP("industry|PM25|Asthma symptoms cough", US_national_yearly!$D:$AM, 13, FALSE) / VLOOKUP("industry|PM25|Asthma symptoms cough", US_national_yearly!$D:$AM, 10, FALSE), 1)</f>
        <v>2.3702466124114786E-2</v>
      </c>
      <c r="F6" s="7">
        <f>$B6 * IFERROR(VLOOKUP("industry|PM25|Asthma symptoms cough", US_national_yearly!$D:$AM, 14, FALSE) / VLOOKUP("industry|PM25|Asthma symptoms cough", US_national_yearly!$D:$AM, 10, FALSE), 1)</f>
        <v>2.3702466124114786E-2</v>
      </c>
      <c r="G6" s="7">
        <f>$B6 * IFERROR(VLOOKUP("industry|PM25|Asthma symptoms cough", US_national_yearly!$D:$AM, 15, FALSE) / VLOOKUP("industry|PM25|Asthma symptoms cough", US_national_yearly!$D:$AM, 10, FALSE), 1)</f>
        <v>2.3702466124114786E-2</v>
      </c>
      <c r="H6" s="7">
        <f>$B6 * IFERROR(VLOOKUP("industry|PM25|Asthma symptoms cough", US_national_yearly!$D:$AM, 16, FALSE) / VLOOKUP("industry|PM25|Asthma symptoms cough", US_national_yearly!$D:$AM, 10, FALSE), 1)</f>
        <v>2.3702466124114786E-2</v>
      </c>
      <c r="I6" s="7">
        <f>$B6 * IFERROR(VLOOKUP("industry|PM25|Asthma symptoms cough", US_national_yearly!$D:$AM, 17, FALSE) / VLOOKUP("industry|PM25|Asthma symptoms cough", US_national_yearly!$D:$AM, 10, FALSE), 1)</f>
        <v>2.3702466124114786E-2</v>
      </c>
      <c r="J6" s="7">
        <f>$B6 * IFERROR(VLOOKUP("industry|PM25|Asthma symptoms cough", US_national_yearly!$D:$AM, 18, FALSE) / VLOOKUP("industry|PM25|Asthma symptoms cough", US_national_yearly!$D:$AM, 10, FALSE), 1)</f>
        <v>2.3702466124114786E-2</v>
      </c>
      <c r="K6" s="7">
        <f>$B6 * IFERROR(VLOOKUP("industry|PM25|Asthma symptoms cough", US_national_yearly!$D:$AM, 19, FALSE) / VLOOKUP("industry|PM25|Asthma symptoms cough", US_national_yearly!$D:$AM, 10, FALSE), 1)</f>
        <v>2.3702466124114786E-2</v>
      </c>
      <c r="L6" s="7">
        <f>$B6 * IFERROR(VLOOKUP("industry|PM25|Asthma symptoms cough", US_national_yearly!$D:$AM, 20, FALSE) / VLOOKUP("industry|PM25|Asthma symptoms cough", US_national_yearly!$D:$AM, 10, FALSE), 1)</f>
        <v>2.3702466124114786E-2</v>
      </c>
      <c r="M6" s="7">
        <f>$B6 * IFERROR(VLOOKUP("industry|PM25|Asthma symptoms cough", US_national_yearly!$D:$AM, 21, FALSE) / VLOOKUP("industry|PM25|Asthma symptoms cough", US_national_yearly!$D:$AM, 10, FALSE), 1)</f>
        <v>2.3702466124114786E-2</v>
      </c>
      <c r="N6" s="7">
        <f>$B6 * IFERROR(VLOOKUP("industry|PM25|Asthma symptoms cough", US_national_yearly!$D:$AM, 22, FALSE) / VLOOKUP("industry|PM25|Asthma symptoms cough", US_national_yearly!$D:$AM, 10, FALSE), 1)</f>
        <v>2.3702466124114786E-2</v>
      </c>
      <c r="O6" s="7">
        <f>$B6 * IFERROR(VLOOKUP("industry|PM25|Asthma symptoms cough", US_national_yearly!$D:$AM, 23, FALSE) / VLOOKUP("industry|PM25|Asthma symptoms cough", US_national_yearly!$D:$AM, 10, FALSE), 1)</f>
        <v>2.3702466124114786E-2</v>
      </c>
      <c r="P6" s="7">
        <f>$B6 * IFERROR(VLOOKUP("industry|PM25|Asthma symptoms cough", US_national_yearly!$D:$AM, 24, FALSE) / VLOOKUP("industry|PM25|Asthma symptoms cough", US_national_yearly!$D:$AM, 10, FALSE), 1)</f>
        <v>2.3702466124114786E-2</v>
      </c>
      <c r="Q6" s="7">
        <f>$B6 * IFERROR(VLOOKUP("industry|PM25|Asthma symptoms cough", US_national_yearly!$D:$AM, 25, FALSE) / VLOOKUP("industry|PM25|Asthma symptoms cough", US_national_yearly!$D:$AM, 10, FALSE), 1)</f>
        <v>2.3702466124114786E-2</v>
      </c>
      <c r="R6" s="7">
        <f>$B6 * IFERROR(VLOOKUP("industry|PM25|Asthma symptoms cough", US_national_yearly!$D:$AM, 26, FALSE) / VLOOKUP("industry|PM25|Asthma symptoms cough", US_national_yearly!$D:$AM, 10, FALSE), 1)</f>
        <v>2.3702466124114786E-2</v>
      </c>
      <c r="S6" s="7">
        <f>$B6 * IFERROR(VLOOKUP("industry|PM25|Asthma symptoms cough", US_national_yearly!$D:$AM, 27, FALSE) / VLOOKUP("industry|PM25|Asthma symptoms cough", US_national_yearly!$D:$AM, 10, FALSE), 1)</f>
        <v>2.3702466124114786E-2</v>
      </c>
      <c r="T6" s="7">
        <f>$B6 * IFERROR(VLOOKUP("industry|PM25|Asthma symptoms cough", US_national_yearly!$D:$AM, 28, FALSE) / VLOOKUP("industry|PM25|Asthma symptoms cough", US_national_yearly!$D:$AM, 10, FALSE), 1)</f>
        <v>2.3702466124114786E-2</v>
      </c>
      <c r="U6" s="7">
        <f>$B6 * IFERROR(VLOOKUP("industry|PM25|Asthma symptoms cough", US_national_yearly!$D:$AM, 29, FALSE) / VLOOKUP("industry|PM25|Asthma symptoms cough", US_national_yearly!$D:$AM, 10, FALSE), 1)</f>
        <v>2.3702466124114786E-2</v>
      </c>
      <c r="V6" s="7">
        <f>$B6 * IFERROR(VLOOKUP("industry|PM25|Asthma symptoms cough", US_national_yearly!$D:$AM, 30, FALSE) / VLOOKUP("industry|PM25|Asthma symptoms cough", US_national_yearly!$D:$AM, 10, FALSE), 1)</f>
        <v>2.3702466124114786E-2</v>
      </c>
      <c r="W6" s="7">
        <f>$B6 * IFERROR(VLOOKUP("industry|PM25|Asthma symptoms cough", US_national_yearly!$D:$AM, 31, FALSE) / VLOOKUP("industry|PM25|Asthma symptoms cough", US_national_yearly!$D:$AM, 10, FALSE), 1)</f>
        <v>2.3702466124114786E-2</v>
      </c>
      <c r="X6" s="7">
        <f>$B6 * IFERROR(VLOOKUP("industry|PM25|Asthma symptoms cough", US_national_yearly!$D:$AM, 32, FALSE) / VLOOKUP("industry|PM25|Asthma symptoms cough", US_national_yearly!$D:$AM, 10, FALSE), 1)</f>
        <v>2.3702466124114786E-2</v>
      </c>
      <c r="Y6" s="7">
        <f>$B6 * IFERROR(VLOOKUP("industry|PM25|Asthma symptoms cough", US_national_yearly!$D:$AM, 33, FALSE) / VLOOKUP("industry|PM25|Asthma symptoms cough", US_national_yearly!$D:$AM, 10, FALSE), 1)</f>
        <v>2.3702466124114786E-2</v>
      </c>
      <c r="Z6" s="7">
        <f>$B6 * IFERROR(VLOOKUP("industry|PM25|Asthma symptoms cough", US_national_yearly!$D:$AM, 34, FALSE) / VLOOKUP("industry|PM25|Asthma symptoms cough", US_national_yearly!$D:$AM, 10, FALSE), 1)</f>
        <v>2.3702466124114786E-2</v>
      </c>
      <c r="AA6" s="7">
        <f>$B6 * IFERROR(VLOOKUP("industry|PM25|Asthma symptoms cough", US_national_yearly!$D:$AM, 35, FALSE) / VLOOKUP("industry|PM25|Asthma symptoms cough", US_national_yearly!$D:$AM, 10, FALSE), 1)</f>
        <v>2.3702466124114786E-2</v>
      </c>
      <c r="AB6" s="7">
        <f>$B6 * IFERROR(VLOOKUP("industry|PM25|Asthma symptoms cough", US_national_yearly!$D:$AM, 36, FALSE) / VLOOKUP("industry|PM25|Asthma symptoms cough", US_national_yearly!$D:$AM, 10, FALSE), 1)</f>
        <v>2.3702466124114786E-2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3.1917897694185009E-2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3.1917897694185009E-2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3.1917897694185009E-2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3.1917897694185009E-2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3.1917897694185009E-2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3.1917897694185009E-2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3.1917897694185009E-2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3.1917897694185009E-2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3.1917897694185009E-2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3.1917897694185009E-2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3.1917897694185009E-2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3.1917897694185009E-2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3.1917897694185009E-2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3.1917897694185009E-2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3.1917897694185009E-2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3.1917897694185009E-2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3.1917897694185009E-2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3.1917897694185009E-2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3.1917897694185009E-2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3.1917897694185009E-2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3.1917897694185009E-2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3.1917897694185009E-2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3.1917897694185009E-2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3.1917897694185009E-2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3.1917897694185009E-2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3.1917897694185009E-2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3.1917897694185009E-2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4.87683913204092E-2</v>
      </c>
      <c r="C8" s="7">
        <f>$B8 * IFERROR(VLOOKUP("industry|PM25|Asthma symptoms wheeze", US_national_yearly!$D:$AM, 11, FALSE) / VLOOKUP("industry|PM25|Asthma symptoms wheeze", US_national_yearly!$D:$AM, 10, FALSE), 1)</f>
        <v>4.87683913204092E-2</v>
      </c>
      <c r="D8" s="7">
        <f>$B8 * IFERROR(VLOOKUP("industry|PM25|Asthma symptoms wheeze", US_national_yearly!$D:$AM, 12, FALSE) / VLOOKUP("industry|PM25|Asthma symptoms wheeze", US_national_yearly!$D:$AM, 10, FALSE), 1)</f>
        <v>4.87683913204092E-2</v>
      </c>
      <c r="E8" s="7">
        <f>$B8 * IFERROR(VLOOKUP("industry|PM25|Asthma symptoms wheeze", US_national_yearly!$D:$AM, 13, FALSE) / VLOOKUP("industry|PM25|Asthma symptoms wheeze", US_national_yearly!$D:$AM, 10, FALSE), 1)</f>
        <v>4.87683913204092E-2</v>
      </c>
      <c r="F8" s="7">
        <f>$B8 * IFERROR(VLOOKUP("industry|PM25|Asthma symptoms wheeze", US_national_yearly!$D:$AM, 14, FALSE) / VLOOKUP("industry|PM25|Asthma symptoms wheeze", US_national_yearly!$D:$AM, 10, FALSE), 1)</f>
        <v>4.87683913204092E-2</v>
      </c>
      <c r="G8" s="7">
        <f>$B8 * IFERROR(VLOOKUP("industry|PM25|Asthma symptoms wheeze", US_national_yearly!$D:$AM, 15, FALSE) / VLOOKUP("industry|PM25|Asthma symptoms wheeze", US_national_yearly!$D:$AM, 10, FALSE), 1)</f>
        <v>4.87683913204092E-2</v>
      </c>
      <c r="H8" s="7">
        <f>$B8 * IFERROR(VLOOKUP("industry|PM25|Asthma symptoms wheeze", US_national_yearly!$D:$AM, 16, FALSE) / VLOOKUP("industry|PM25|Asthma symptoms wheeze", US_national_yearly!$D:$AM, 10, FALSE), 1)</f>
        <v>4.87683913204092E-2</v>
      </c>
      <c r="I8" s="7">
        <f>$B8 * IFERROR(VLOOKUP("industry|PM25|Asthma symptoms wheeze", US_national_yearly!$D:$AM, 17, FALSE) / VLOOKUP("industry|PM25|Asthma symptoms wheeze", US_national_yearly!$D:$AM, 10, FALSE), 1)</f>
        <v>4.87683913204092E-2</v>
      </c>
      <c r="J8" s="7">
        <f>$B8 * IFERROR(VLOOKUP("industry|PM25|Asthma symptoms wheeze", US_national_yearly!$D:$AM, 18, FALSE) / VLOOKUP("industry|PM25|Asthma symptoms wheeze", US_national_yearly!$D:$AM, 10, FALSE), 1)</f>
        <v>4.87683913204092E-2</v>
      </c>
      <c r="K8" s="7">
        <f>$B8 * IFERROR(VLOOKUP("industry|PM25|Asthma symptoms wheeze", US_national_yearly!$D:$AM, 19, FALSE) / VLOOKUP("industry|PM25|Asthma symptoms wheeze", US_national_yearly!$D:$AM, 10, FALSE), 1)</f>
        <v>4.87683913204092E-2</v>
      </c>
      <c r="L8" s="7">
        <f>$B8 * IFERROR(VLOOKUP("industry|PM25|Asthma symptoms wheeze", US_national_yearly!$D:$AM, 20, FALSE) / VLOOKUP("industry|PM25|Asthma symptoms wheeze", US_national_yearly!$D:$AM, 10, FALSE), 1)</f>
        <v>4.87683913204092E-2</v>
      </c>
      <c r="M8" s="7">
        <f>$B8 * IFERROR(VLOOKUP("industry|PM25|Asthma symptoms wheeze", US_national_yearly!$D:$AM, 21, FALSE) / VLOOKUP("industry|PM25|Asthma symptoms wheeze", US_national_yearly!$D:$AM, 10, FALSE), 1)</f>
        <v>4.87683913204092E-2</v>
      </c>
      <c r="N8" s="7">
        <f>$B8 * IFERROR(VLOOKUP("industry|PM25|Asthma symptoms wheeze", US_national_yearly!$D:$AM, 22, FALSE) / VLOOKUP("industry|PM25|Asthma symptoms wheeze", US_national_yearly!$D:$AM, 10, FALSE), 1)</f>
        <v>4.87683913204092E-2</v>
      </c>
      <c r="O8" s="7">
        <f>$B8 * IFERROR(VLOOKUP("industry|PM25|Asthma symptoms wheeze", US_national_yearly!$D:$AM, 23, FALSE) / VLOOKUP("industry|PM25|Asthma symptoms wheeze", US_national_yearly!$D:$AM, 10, FALSE), 1)</f>
        <v>4.87683913204092E-2</v>
      </c>
      <c r="P8" s="7">
        <f>$B8 * IFERROR(VLOOKUP("industry|PM25|Asthma symptoms wheeze", US_national_yearly!$D:$AM, 24, FALSE) / VLOOKUP("industry|PM25|Asthma symptoms wheeze", US_national_yearly!$D:$AM, 10, FALSE), 1)</f>
        <v>4.87683913204092E-2</v>
      </c>
      <c r="Q8" s="7">
        <f>$B8 * IFERROR(VLOOKUP("industry|PM25|Asthma symptoms wheeze", US_national_yearly!$D:$AM, 25, FALSE) / VLOOKUP("industry|PM25|Asthma symptoms wheeze", US_national_yearly!$D:$AM, 10, FALSE), 1)</f>
        <v>4.87683913204092E-2</v>
      </c>
      <c r="R8" s="7">
        <f>$B8 * IFERROR(VLOOKUP("industry|PM25|Asthma symptoms wheeze", US_national_yearly!$D:$AM, 26, FALSE) / VLOOKUP("industry|PM25|Asthma symptoms wheeze", US_national_yearly!$D:$AM, 10, FALSE), 1)</f>
        <v>4.87683913204092E-2</v>
      </c>
      <c r="S8" s="7">
        <f>$B8 * IFERROR(VLOOKUP("industry|PM25|Asthma symptoms wheeze", US_national_yearly!$D:$AM, 27, FALSE) / VLOOKUP("industry|PM25|Asthma symptoms wheeze", US_national_yearly!$D:$AM, 10, FALSE), 1)</f>
        <v>4.87683913204092E-2</v>
      </c>
      <c r="T8" s="7">
        <f>$B8 * IFERROR(VLOOKUP("industry|PM25|Asthma symptoms wheeze", US_national_yearly!$D:$AM, 28, FALSE) / VLOOKUP("industry|PM25|Asthma symptoms wheeze", US_national_yearly!$D:$AM, 10, FALSE), 1)</f>
        <v>4.87683913204092E-2</v>
      </c>
      <c r="U8" s="7">
        <f>$B8 * IFERROR(VLOOKUP("industry|PM25|Asthma symptoms wheeze", US_national_yearly!$D:$AM, 29, FALSE) / VLOOKUP("industry|PM25|Asthma symptoms wheeze", US_national_yearly!$D:$AM, 10, FALSE), 1)</f>
        <v>4.87683913204092E-2</v>
      </c>
      <c r="V8" s="7">
        <f>$B8 * IFERROR(VLOOKUP("industry|PM25|Asthma symptoms wheeze", US_national_yearly!$D:$AM, 30, FALSE) / VLOOKUP("industry|PM25|Asthma symptoms wheeze", US_national_yearly!$D:$AM, 10, FALSE), 1)</f>
        <v>4.87683913204092E-2</v>
      </c>
      <c r="W8" s="7">
        <f>$B8 * IFERROR(VLOOKUP("industry|PM25|Asthma symptoms wheeze", US_national_yearly!$D:$AM, 31, FALSE) / VLOOKUP("industry|PM25|Asthma symptoms wheeze", US_national_yearly!$D:$AM, 10, FALSE), 1)</f>
        <v>4.87683913204092E-2</v>
      </c>
      <c r="X8" s="7">
        <f>$B8 * IFERROR(VLOOKUP("industry|PM25|Asthma symptoms wheeze", US_national_yearly!$D:$AM, 32, FALSE) / VLOOKUP("industry|PM25|Asthma symptoms wheeze", US_national_yearly!$D:$AM, 10, FALSE), 1)</f>
        <v>4.87683913204092E-2</v>
      </c>
      <c r="Y8" s="7">
        <f>$B8 * IFERROR(VLOOKUP("industry|PM25|Asthma symptoms wheeze", US_national_yearly!$D:$AM, 33, FALSE) / VLOOKUP("industry|PM25|Asthma symptoms wheeze", US_national_yearly!$D:$AM, 10, FALSE), 1)</f>
        <v>4.87683913204092E-2</v>
      </c>
      <c r="Z8" s="7">
        <f>$B8 * IFERROR(VLOOKUP("industry|PM25|Asthma symptoms wheeze", US_national_yearly!$D:$AM, 34, FALSE) / VLOOKUP("industry|PM25|Asthma symptoms wheeze", US_national_yearly!$D:$AM, 10, FALSE), 1)</f>
        <v>4.87683913204092E-2</v>
      </c>
      <c r="AA8" s="7">
        <f>$B8 * IFERROR(VLOOKUP("industry|PM25|Asthma symptoms wheeze", US_national_yearly!$D:$AM, 35, FALSE) / VLOOKUP("industry|PM25|Asthma symptoms wheeze", US_national_yearly!$D:$AM, 10, FALSE), 1)</f>
        <v>4.87683913204092E-2</v>
      </c>
      <c r="AB8" s="7">
        <f>$B8 * IFERROR(VLOOKUP("industry|PM25|Asthma symptoms wheeze", US_national_yearly!$D:$AM, 36, FALSE) / VLOOKUP("industry|PM25|Asthma symptoms wheeze", US_national_yearly!$D:$AM, 10, FALSE), 1)</f>
        <v>4.87683913204092E-2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8.8216372450540645E-4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8.8717226520857448E-4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8.9218080591174263E-4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8.9718934661491066E-4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9.0219788731807891E-4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9.0761306453798697E-4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9.1302824175789525E-4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9.1816521861520035E-4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9.2330219547250535E-4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9.2843917232981023E-4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9.3357614918711533E-4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9.3871312604442043E-4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9.423463658766424E-4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9.4597960570886425E-4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9.4961284554108633E-4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9.5324608537330807E-4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9.5687932520553015E-4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9.6030611271475481E-4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9.6373290022397958E-4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9.6715968773320447E-4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9.7058647524242913E-4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9.7401326275165401E-4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9.7731276091527429E-4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9.8061225907889469E-4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9.8391175724251508E-4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9.8721125540613547E-4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9.9051075356975586E-4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5.1812060736566596E-3</v>
      </c>
      <c r="C13" s="7">
        <f>$B13 * IFERROR(VLOOKUP("industry|PM25|Non-fatal heart attacks", US_national_yearly!$D:$AM, 11, FALSE) / VLOOKUP("industry|PM25|Non-fatal heart attacks", US_national_yearly!$D:$AM, 10, FALSE), 1)</f>
        <v>5.3320323410036702E-3</v>
      </c>
      <c r="D13" s="7">
        <f>$B13 * IFERROR(VLOOKUP("industry|PM25|Non-fatal heart attacks", US_national_yearly!$D:$AM, 12, FALSE) / VLOOKUP("industry|PM25|Non-fatal heart attacks", US_national_yearly!$D:$AM, 10, FALSE), 1)</f>
        <v>5.4828586083506799E-3</v>
      </c>
      <c r="E13" s="7">
        <f>$B13 * IFERROR(VLOOKUP("industry|PM25|Non-fatal heart attacks", US_national_yearly!$D:$AM, 13, FALSE) / VLOOKUP("industry|PM25|Non-fatal heart attacks", US_national_yearly!$D:$AM, 10, FALSE), 1)</f>
        <v>5.6336848756976905E-3</v>
      </c>
      <c r="F13" s="7">
        <f>$B13 * IFERROR(VLOOKUP("industry|PM25|Non-fatal heart attacks", US_national_yearly!$D:$AM, 14, FALSE) / VLOOKUP("industry|PM25|Non-fatal heart attacks", US_national_yearly!$D:$AM, 10, FALSE), 1)</f>
        <v>5.7845111430447011E-3</v>
      </c>
      <c r="G13" s="7">
        <f>$B13 * IFERROR(VLOOKUP("industry|PM25|Non-fatal heart attacks", US_national_yearly!$D:$AM, 15, FALSE) / VLOOKUP("industry|PM25|Non-fatal heart attacks", US_national_yearly!$D:$AM, 10, FALSE), 1)</f>
        <v>5.9269017445020477E-3</v>
      </c>
      <c r="H13" s="7">
        <f>$B13 * IFERROR(VLOOKUP("industry|PM25|Non-fatal heart attacks", US_national_yearly!$D:$AM, 16, FALSE) / VLOOKUP("industry|PM25|Non-fatal heart attacks", US_national_yearly!$D:$AM, 10, FALSE), 1)</f>
        <v>6.0692923459593952E-3</v>
      </c>
      <c r="I13" s="7">
        <f>$B13 * IFERROR(VLOOKUP("industry|PM25|Non-fatal heart attacks", US_national_yearly!$D:$AM, 17, FALSE) / VLOOKUP("industry|PM25|Non-fatal heart attacks", US_national_yearly!$D:$AM, 10, FALSE), 1)</f>
        <v>6.1842740716464934E-3</v>
      </c>
      <c r="J13" s="7">
        <f>$B13 * IFERROR(VLOOKUP("industry|PM25|Non-fatal heart attacks", US_national_yearly!$D:$AM, 18, FALSE) / VLOOKUP("industry|PM25|Non-fatal heart attacks", US_national_yearly!$D:$AM, 10, FALSE), 1)</f>
        <v>6.2992557973335899E-3</v>
      </c>
      <c r="K13" s="7">
        <f>$B13 * IFERROR(VLOOKUP("industry|PM25|Non-fatal heart attacks", US_national_yearly!$D:$AM, 19, FALSE) / VLOOKUP("industry|PM25|Non-fatal heart attacks", US_national_yearly!$D:$AM, 10, FALSE), 1)</f>
        <v>6.4142375230206872E-3</v>
      </c>
      <c r="L13" s="7">
        <f>$B13 * IFERROR(VLOOKUP("industry|PM25|Non-fatal heart attacks", US_national_yearly!$D:$AM, 20, FALSE) / VLOOKUP("industry|PM25|Non-fatal heart attacks", US_national_yearly!$D:$AM, 10, FALSE), 1)</f>
        <v>6.5292192487077837E-3</v>
      </c>
      <c r="M13" s="7">
        <f>$B13 * IFERROR(VLOOKUP("industry|PM25|Non-fatal heart attacks", US_national_yearly!$D:$AM, 21, FALSE) / VLOOKUP("industry|PM25|Non-fatal heart attacks", US_national_yearly!$D:$AM, 10, FALSE), 1)</f>
        <v>6.644200974394881E-3</v>
      </c>
      <c r="N13" s="7">
        <f>$B13 * IFERROR(VLOOKUP("industry|PM25|Non-fatal heart attacks", US_national_yearly!$D:$AM, 22, FALSE) / VLOOKUP("industry|PM25|Non-fatal heart attacks", US_national_yearly!$D:$AM, 10, FALSE), 1)</f>
        <v>6.7185430634903696E-3</v>
      </c>
      <c r="O13" s="7">
        <f>$B13 * IFERROR(VLOOKUP("industry|PM25|Non-fatal heart attacks", US_national_yearly!$D:$AM, 23, FALSE) / VLOOKUP("industry|PM25|Non-fatal heart attacks", US_national_yearly!$D:$AM, 10, FALSE), 1)</f>
        <v>6.7928851525858591E-3</v>
      </c>
      <c r="P13" s="7">
        <f>$B13 * IFERROR(VLOOKUP("industry|PM25|Non-fatal heart attacks", US_national_yearly!$D:$AM, 24, FALSE) / VLOOKUP("industry|PM25|Non-fatal heart attacks", US_national_yearly!$D:$AM, 10, FALSE), 1)</f>
        <v>6.8672272416813486E-3</v>
      </c>
      <c r="Q13" s="7">
        <f>$B13 * IFERROR(VLOOKUP("industry|PM25|Non-fatal heart attacks", US_national_yearly!$D:$AM, 25, FALSE) / VLOOKUP("industry|PM25|Non-fatal heart attacks", US_national_yearly!$D:$AM, 10, FALSE), 1)</f>
        <v>6.9415693307768372E-3</v>
      </c>
      <c r="R13" s="7">
        <f>$B13 * IFERROR(VLOOKUP("industry|PM25|Non-fatal heart attacks", US_national_yearly!$D:$AM, 26, FALSE) / VLOOKUP("industry|PM25|Non-fatal heart attacks", US_national_yearly!$D:$AM, 10, FALSE), 1)</f>
        <v>7.0159114198723267E-3</v>
      </c>
      <c r="S13" s="7">
        <f>$B13 * IFERROR(VLOOKUP("industry|PM25|Non-fatal heart attacks", US_national_yearly!$D:$AM, 27, FALSE) / VLOOKUP("industry|PM25|Non-fatal heart attacks", US_national_yearly!$D:$AM, 10, FALSE), 1)</f>
        <v>7.0556178113886708E-3</v>
      </c>
      <c r="T13" s="7">
        <f>$B13 * IFERROR(VLOOKUP("industry|PM25|Non-fatal heart attacks", US_national_yearly!$D:$AM, 28, FALSE) / VLOOKUP("industry|PM25|Non-fatal heart attacks", US_national_yearly!$D:$AM, 10, FALSE), 1)</f>
        <v>7.0953242029050175E-3</v>
      </c>
      <c r="U13" s="7">
        <f>$B13 * IFERROR(VLOOKUP("industry|PM25|Non-fatal heart attacks", US_national_yearly!$D:$AM, 29, FALSE) / VLOOKUP("industry|PM25|Non-fatal heart attacks", US_national_yearly!$D:$AM, 10, FALSE), 1)</f>
        <v>7.1350305944213634E-3</v>
      </c>
      <c r="V13" s="7">
        <f>$B13 * IFERROR(VLOOKUP("industry|PM25|Non-fatal heart attacks", US_national_yearly!$D:$AM, 30, FALSE) / VLOOKUP("industry|PM25|Non-fatal heart attacks", US_national_yearly!$D:$AM, 10, FALSE), 1)</f>
        <v>7.1747369859377075E-3</v>
      </c>
      <c r="W13" s="7">
        <f>$B13 * IFERROR(VLOOKUP("industry|PM25|Non-fatal heart attacks", US_national_yearly!$D:$AM, 31, FALSE) / VLOOKUP("industry|PM25|Non-fatal heart attacks", US_national_yearly!$D:$AM, 10, FALSE), 1)</f>
        <v>7.2144433774540542E-3</v>
      </c>
      <c r="X13" s="7">
        <f>$B13 * IFERROR(VLOOKUP("industry|PM25|Non-fatal heart attacks", US_national_yearly!$D:$AM, 32, FALSE) / VLOOKUP("industry|PM25|Non-fatal heart attacks", US_national_yearly!$D:$AM, 10, FALSE), 1)</f>
        <v>7.24508851419353E-3</v>
      </c>
      <c r="Y13" s="7">
        <f>$B13 * IFERROR(VLOOKUP("industry|PM25|Non-fatal heart attacks", US_national_yearly!$D:$AM, 33, FALSE) / VLOOKUP("industry|PM25|Non-fatal heart attacks", US_national_yearly!$D:$AM, 10, FALSE), 1)</f>
        <v>7.2757336509330049E-3</v>
      </c>
      <c r="Z13" s="7">
        <f>$B13 * IFERROR(VLOOKUP("industry|PM25|Non-fatal heart attacks", US_national_yearly!$D:$AM, 34, FALSE) / VLOOKUP("industry|PM25|Non-fatal heart attacks", US_national_yearly!$D:$AM, 10, FALSE), 1)</f>
        <v>7.3063787876724807E-3</v>
      </c>
      <c r="AA13" s="7">
        <f>$B13 * IFERROR(VLOOKUP("industry|PM25|Non-fatal heart attacks", US_national_yearly!$D:$AM, 35, FALSE) / VLOOKUP("industry|PM25|Non-fatal heart attacks", US_national_yearly!$D:$AM, 10, FALSE), 1)</f>
        <v>7.3370239244119574E-3</v>
      </c>
      <c r="AB13" s="7">
        <f>$B13 * IFERROR(VLOOKUP("industry|PM25|Non-fatal heart attacks", US_national_yearly!$D:$AM, 36, FALSE) / VLOOKUP("industry|PM25|Non-fatal heart attacks", US_national_yearly!$D:$AM, 10, FALSE), 1)</f>
        <v>7.3676690611514332E-3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3.4870051469720162</v>
      </c>
      <c r="C14" s="7">
        <f>$B14 * IFERROR(VLOOKUP("industry|PM25|Minor restricted activity days", US_national_yearly!$D:$AM, 11, FALSE) / VLOOKUP("industry|PM25|Minor restricted activity days", US_national_yearly!$D:$AM, 10, FALSE), 1)</f>
        <v>3.4955454005682185</v>
      </c>
      <c r="D14" s="7">
        <f>$B14 * IFERROR(VLOOKUP("industry|PM25|Minor restricted activity days", US_national_yearly!$D:$AM, 12, FALSE) / VLOOKUP("industry|PM25|Minor restricted activity days", US_national_yearly!$D:$AM, 10, FALSE), 1)</f>
        <v>3.5040856541644216</v>
      </c>
      <c r="E14" s="7">
        <f>$B14 * IFERROR(VLOOKUP("industry|PM25|Minor restricted activity days", US_national_yearly!$D:$AM, 13, FALSE) / VLOOKUP("industry|PM25|Minor restricted activity days", US_national_yearly!$D:$AM, 10, FALSE), 1)</f>
        <v>3.5126259077606239</v>
      </c>
      <c r="F14" s="7">
        <f>$B14 * IFERROR(VLOOKUP("industry|PM25|Minor restricted activity days", US_national_yearly!$D:$AM, 14, FALSE) / VLOOKUP("industry|PM25|Minor restricted activity days", US_national_yearly!$D:$AM, 10, FALSE), 1)</f>
        <v>3.5211661613568261</v>
      </c>
      <c r="G14" s="7">
        <f>$B14 * IFERROR(VLOOKUP("industry|PM25|Minor restricted activity days", US_national_yearly!$D:$AM, 15, FALSE) / VLOOKUP("industry|PM25|Minor restricted activity days", US_national_yearly!$D:$AM, 10, FALSE), 1)</f>
        <v>3.5337018656000025</v>
      </c>
      <c r="H14" s="7">
        <f>$B14 * IFERROR(VLOOKUP("industry|PM25|Minor restricted activity days", US_national_yearly!$D:$AM, 16, FALSE) / VLOOKUP("industry|PM25|Minor restricted activity days", US_national_yearly!$D:$AM, 10, FALSE), 1)</f>
        <v>3.5462375698431781</v>
      </c>
      <c r="I14" s="7">
        <f>$B14 * IFERROR(VLOOKUP("industry|PM25|Minor restricted activity days", US_national_yearly!$D:$AM, 17, FALSE) / VLOOKUP("industry|PM25|Minor restricted activity days", US_national_yearly!$D:$AM, 10, FALSE), 1)</f>
        <v>3.5675325080791436</v>
      </c>
      <c r="J14" s="7">
        <f>$B14 * IFERROR(VLOOKUP("industry|PM25|Minor restricted activity days", US_national_yearly!$D:$AM, 18, FALSE) / VLOOKUP("industry|PM25|Minor restricted activity days", US_national_yearly!$D:$AM, 10, FALSE), 1)</f>
        <v>3.5888274463151095</v>
      </c>
      <c r="K14" s="7">
        <f>$B14 * IFERROR(VLOOKUP("industry|PM25|Minor restricted activity days", US_national_yearly!$D:$AM, 19, FALSE) / VLOOKUP("industry|PM25|Minor restricted activity days", US_national_yearly!$D:$AM, 10, FALSE), 1)</f>
        <v>3.6101223845510741</v>
      </c>
      <c r="L14" s="7">
        <f>$B14 * IFERROR(VLOOKUP("industry|PM25|Minor restricted activity days", US_national_yearly!$D:$AM, 20, FALSE) / VLOOKUP("industry|PM25|Minor restricted activity days", US_national_yearly!$D:$AM, 10, FALSE), 1)</f>
        <v>3.6314173227870392</v>
      </c>
      <c r="M14" s="7">
        <f>$B14 * IFERROR(VLOOKUP("industry|PM25|Minor restricted activity days", US_national_yearly!$D:$AM, 21, FALSE) / VLOOKUP("industry|PM25|Minor restricted activity days", US_national_yearly!$D:$AM, 10, FALSE), 1)</f>
        <v>3.6527122610230043</v>
      </c>
      <c r="N14" s="7">
        <f>$B14 * IFERROR(VLOOKUP("industry|PM25|Minor restricted activity days", US_national_yearly!$D:$AM, 22, FALSE) / VLOOKUP("industry|PM25|Minor restricted activity days", US_national_yearly!$D:$AM, 10, FALSE), 1)</f>
        <v>3.6818032493353425</v>
      </c>
      <c r="O14" s="7">
        <f>$B14 * IFERROR(VLOOKUP("industry|PM25|Minor restricted activity days", US_national_yearly!$D:$AM, 23, FALSE) / VLOOKUP("industry|PM25|Minor restricted activity days", US_national_yearly!$D:$AM, 10, FALSE), 1)</f>
        <v>3.7108942376476834</v>
      </c>
      <c r="P14" s="7">
        <f>$B14 * IFERROR(VLOOKUP("industry|PM25|Minor restricted activity days", US_national_yearly!$D:$AM, 24, FALSE) / VLOOKUP("industry|PM25|Minor restricted activity days", US_national_yearly!$D:$AM, 10, FALSE), 1)</f>
        <v>3.7399852259600213</v>
      </c>
      <c r="Q14" s="7">
        <f>$B14 * IFERROR(VLOOKUP("industry|PM25|Minor restricted activity days", US_national_yearly!$D:$AM, 25, FALSE) / VLOOKUP("industry|PM25|Minor restricted activity days", US_national_yearly!$D:$AM, 10, FALSE), 1)</f>
        <v>3.7690762142723631</v>
      </c>
      <c r="R14" s="7">
        <f>$B14 * IFERROR(VLOOKUP("industry|PM25|Minor restricted activity days", US_national_yearly!$D:$AM, 26, FALSE) / VLOOKUP("industry|PM25|Minor restricted activity days", US_national_yearly!$D:$AM, 10, FALSE), 1)</f>
        <v>3.7981672025847009</v>
      </c>
      <c r="S14" s="7">
        <f>$B14 * IFERROR(VLOOKUP("industry|PM25|Minor restricted activity days", US_national_yearly!$D:$AM, 27, FALSE) / VLOOKUP("industry|PM25|Minor restricted activity days", US_national_yearly!$D:$AM, 10, FALSE), 1)</f>
        <v>3.8275374757622362</v>
      </c>
      <c r="T14" s="7">
        <f>$B14 * IFERROR(VLOOKUP("industry|PM25|Minor restricted activity days", US_national_yearly!$D:$AM, 28, FALSE) / VLOOKUP("industry|PM25|Minor restricted activity days", US_national_yearly!$D:$AM, 10, FALSE), 1)</f>
        <v>3.8569077489397725</v>
      </c>
      <c r="U14" s="7">
        <f>$B14 * IFERROR(VLOOKUP("industry|PM25|Minor restricted activity days", US_national_yearly!$D:$AM, 29, FALSE) / VLOOKUP("industry|PM25|Minor restricted activity days", US_national_yearly!$D:$AM, 10, FALSE), 1)</f>
        <v>3.8862780221173079</v>
      </c>
      <c r="V14" s="7">
        <f>$B14 * IFERROR(VLOOKUP("industry|PM25|Minor restricted activity days", US_national_yearly!$D:$AM, 30, FALSE) / VLOOKUP("industry|PM25|Minor restricted activity days", US_national_yearly!$D:$AM, 10, FALSE), 1)</f>
        <v>3.9156482952948433</v>
      </c>
      <c r="W14" s="7">
        <f>$B14 * IFERROR(VLOOKUP("industry|PM25|Minor restricted activity days", US_national_yearly!$D:$AM, 31, FALSE) / VLOOKUP("industry|PM25|Minor restricted activity days", US_national_yearly!$D:$AM, 10, FALSE), 1)</f>
        <v>3.9450185684723795</v>
      </c>
      <c r="X14" s="7">
        <f>$B14 * IFERROR(VLOOKUP("industry|PM25|Minor restricted activity days", US_national_yearly!$D:$AM, 32, FALSE) / VLOOKUP("industry|PM25|Minor restricted activity days", US_national_yearly!$D:$AM, 10, FALSE), 1)</f>
        <v>3.9705402602367532</v>
      </c>
      <c r="Y14" s="7">
        <f>$B14 * IFERROR(VLOOKUP("industry|PM25|Minor restricted activity days", US_national_yearly!$D:$AM, 33, FALSE) / VLOOKUP("industry|PM25|Minor restricted activity days", US_national_yearly!$D:$AM, 10, FALSE), 1)</f>
        <v>3.9960619520011282</v>
      </c>
      <c r="Z14" s="7">
        <f>$B14 * IFERROR(VLOOKUP("industry|PM25|Minor restricted activity days", US_national_yearly!$D:$AM, 34, FALSE) / VLOOKUP("industry|PM25|Minor restricted activity days", US_national_yearly!$D:$AM, 10, FALSE), 1)</f>
        <v>4.0215836437655028</v>
      </c>
      <c r="AA14" s="7">
        <f>$B14 * IFERROR(VLOOKUP("industry|PM25|Minor restricted activity days", US_national_yearly!$D:$AM, 35, FALSE) / VLOOKUP("industry|PM25|Minor restricted activity days", US_national_yearly!$D:$AM, 10, FALSE), 1)</f>
        <v>4.0471053355298769</v>
      </c>
      <c r="AB14" s="7">
        <f>$B14 * IFERROR(VLOOKUP("industry|PM25|Minor restricted activity days", US_national_yearly!$D:$AM, 36, FALSE) / VLOOKUP("industry|PM25|Minor restricted activity days", US_national_yearly!$D:$AM, 10, FALSE), 1)</f>
        <v>4.072627027294252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0.5837331031926084</v>
      </c>
      <c r="C15" s="7">
        <f>$B15 * IFERROR(VLOOKUP("industry|PM25|Work loss days", US_national_yearly!$D:$AM, 11, FALSE) / VLOOKUP("industry|PM25|Work loss days", US_national_yearly!$D:$AM, 10, FALSE), 1)</f>
        <v>0.58554291018106375</v>
      </c>
      <c r="D15" s="7">
        <f>$B15 * IFERROR(VLOOKUP("industry|PM25|Work loss days", US_national_yearly!$D:$AM, 12, FALSE) / VLOOKUP("industry|PM25|Work loss days", US_national_yearly!$D:$AM, 10, FALSE), 1)</f>
        <v>0.58735271716951909</v>
      </c>
      <c r="E15" s="7">
        <f>$B15 * IFERROR(VLOOKUP("industry|PM25|Work loss days", US_national_yearly!$D:$AM, 13, FALSE) / VLOOKUP("industry|PM25|Work loss days", US_national_yearly!$D:$AM, 10, FALSE), 1)</f>
        <v>0.58916252415797432</v>
      </c>
      <c r="F15" s="7">
        <f>$B15 * IFERROR(VLOOKUP("industry|PM25|Work loss days", US_national_yearly!$D:$AM, 14, FALSE) / VLOOKUP("industry|PM25|Work loss days", US_national_yearly!$D:$AM, 10, FALSE), 1)</f>
        <v>0.59097233114642966</v>
      </c>
      <c r="G15" s="7">
        <f>$B15 * IFERROR(VLOOKUP("industry|PM25|Work loss days", US_national_yearly!$D:$AM, 15, FALSE) / VLOOKUP("industry|PM25|Work loss days", US_national_yearly!$D:$AM, 10, FALSE), 1)</f>
        <v>0.59333511341197076</v>
      </c>
      <c r="H15" s="7">
        <f>$B15 * IFERROR(VLOOKUP("industry|PM25|Work loss days", US_national_yearly!$D:$AM, 16, FALSE) / VLOOKUP("industry|PM25|Work loss days", US_national_yearly!$D:$AM, 10, FALSE), 1)</f>
        <v>0.59569789567751197</v>
      </c>
      <c r="I15" s="7">
        <f>$B15 * IFERROR(VLOOKUP("industry|PM25|Work loss days", US_national_yearly!$D:$AM, 17, FALSE) / VLOOKUP("industry|PM25|Work loss days", US_national_yearly!$D:$AM, 10, FALSE), 1)</f>
        <v>0.59915776090236728</v>
      </c>
      <c r="J15" s="7">
        <f>$B15 * IFERROR(VLOOKUP("industry|PM25|Work loss days", US_national_yearly!$D:$AM, 18, FALSE) / VLOOKUP("industry|PM25|Work loss days", US_national_yearly!$D:$AM, 10, FALSE), 1)</f>
        <v>0.60261762612722269</v>
      </c>
      <c r="K15" s="7">
        <f>$B15 * IFERROR(VLOOKUP("industry|PM25|Work loss days", US_national_yearly!$D:$AM, 19, FALSE) / VLOOKUP("industry|PM25|Work loss days", US_national_yearly!$D:$AM, 10, FALSE), 1)</f>
        <v>0.60607749135207789</v>
      </c>
      <c r="L15" s="7">
        <f>$B15 * IFERROR(VLOOKUP("industry|PM25|Work loss days", US_national_yearly!$D:$AM, 20, FALSE) / VLOOKUP("industry|PM25|Work loss days", US_national_yearly!$D:$AM, 10, FALSE), 1)</f>
        <v>0.6095373565769332</v>
      </c>
      <c r="M15" s="7">
        <f>$B15 * IFERROR(VLOOKUP("industry|PM25|Work loss days", US_national_yearly!$D:$AM, 21, FALSE) / VLOOKUP("industry|PM25|Work loss days", US_national_yearly!$D:$AM, 10, FALSE), 1)</f>
        <v>0.61299722180178862</v>
      </c>
      <c r="N15" s="7">
        <f>$B15 * IFERROR(VLOOKUP("industry|PM25|Work loss days", US_national_yearly!$D:$AM, 22, FALSE) / VLOOKUP("industry|PM25|Work loss days", US_national_yearly!$D:$AM, 10, FALSE), 1)</f>
        <v>0.61736311758096041</v>
      </c>
      <c r="O15" s="7">
        <f>$B15 * IFERROR(VLOOKUP("industry|PM25|Work loss days", US_national_yearly!$D:$AM, 23, FALSE) / VLOOKUP("industry|PM25|Work loss days", US_national_yearly!$D:$AM, 10, FALSE), 1)</f>
        <v>0.62172901336013231</v>
      </c>
      <c r="P15" s="7">
        <f>$B15 * IFERROR(VLOOKUP("industry|PM25|Work loss days", US_national_yearly!$D:$AM, 24, FALSE) / VLOOKUP("industry|PM25|Work loss days", US_national_yearly!$D:$AM, 10, FALSE), 1)</f>
        <v>0.62609490913930399</v>
      </c>
      <c r="Q15" s="7">
        <f>$B15 * IFERROR(VLOOKUP("industry|PM25|Work loss days", US_national_yearly!$D:$AM, 25, FALSE) / VLOOKUP("industry|PM25|Work loss days", US_national_yearly!$D:$AM, 10, FALSE), 1)</f>
        <v>0.63046080491847578</v>
      </c>
      <c r="R15" s="7">
        <f>$B15 * IFERROR(VLOOKUP("industry|PM25|Work loss days", US_national_yearly!$D:$AM, 26, FALSE) / VLOOKUP("industry|PM25|Work loss days", US_national_yearly!$D:$AM, 10, FALSE), 1)</f>
        <v>0.63482670069764746</v>
      </c>
      <c r="S15" s="7">
        <f>$B15 * IFERROR(VLOOKUP("industry|PM25|Work loss days", US_national_yearly!$D:$AM, 27, FALSE) / VLOOKUP("industry|PM25|Work loss days", US_national_yearly!$D:$AM, 10, FALSE), 1)</f>
        <v>0.63966786017036037</v>
      </c>
      <c r="T15" s="7">
        <f>$B15 * IFERROR(VLOOKUP("industry|PM25|Work loss days", US_national_yearly!$D:$AM, 28, FALSE) / VLOOKUP("industry|PM25|Work loss days", US_national_yearly!$D:$AM, 10, FALSE), 1)</f>
        <v>0.64450901964307317</v>
      </c>
      <c r="U15" s="7">
        <f>$B15 * IFERROR(VLOOKUP("industry|PM25|Work loss days", US_national_yearly!$D:$AM, 29, FALSE) / VLOOKUP("industry|PM25|Work loss days", US_national_yearly!$D:$AM, 10, FALSE), 1)</f>
        <v>0.64935017911578596</v>
      </c>
      <c r="V15" s="7">
        <f>$B15 * IFERROR(VLOOKUP("industry|PM25|Work loss days", US_national_yearly!$D:$AM, 30, FALSE) / VLOOKUP("industry|PM25|Work loss days", US_national_yearly!$D:$AM, 10, FALSE), 1)</f>
        <v>0.65419133858849876</v>
      </c>
      <c r="W15" s="7">
        <f>$B15 * IFERROR(VLOOKUP("industry|PM25|Work loss days", US_national_yearly!$D:$AM, 31, FALSE) / VLOOKUP("industry|PM25|Work loss days", US_national_yearly!$D:$AM, 10, FALSE), 1)</f>
        <v>0.65903249806121167</v>
      </c>
      <c r="X15" s="7">
        <f>$B15 * IFERROR(VLOOKUP("industry|PM25|Work loss days", US_national_yearly!$D:$AM, 32, FALSE) / VLOOKUP("industry|PM25|Work loss days", US_national_yearly!$D:$AM, 10, FALSE), 1)</f>
        <v>0.6633345048169631</v>
      </c>
      <c r="Y15" s="7">
        <f>$B15 * IFERROR(VLOOKUP("industry|PM25|Work loss days", US_national_yearly!$D:$AM, 33, FALSE) / VLOOKUP("industry|PM25|Work loss days", US_national_yearly!$D:$AM, 10, FALSE), 1)</f>
        <v>0.66763651157271453</v>
      </c>
      <c r="Z15" s="7">
        <f>$B15 * IFERROR(VLOOKUP("industry|PM25|Work loss days", US_national_yearly!$D:$AM, 34, FALSE) / VLOOKUP("industry|PM25|Work loss days", US_national_yearly!$D:$AM, 10, FALSE), 1)</f>
        <v>0.67193851832846596</v>
      </c>
      <c r="AA15" s="7">
        <f>$B15 * IFERROR(VLOOKUP("industry|PM25|Work loss days", US_national_yearly!$D:$AM, 35, FALSE) / VLOOKUP("industry|PM25|Work loss days", US_national_yearly!$D:$AM, 10, FALSE), 1)</f>
        <v>0.67624052508421728</v>
      </c>
      <c r="AB15" s="7">
        <f>$B15 * IFERROR(VLOOKUP("industry|PM25|Work loss days", US_national_yearly!$D:$AM, 36, FALSE) / VLOOKUP("industry|PM25|Work loss days", US_national_yearly!$D:$AM, 10, FALSE), 1)</f>
        <v>0.68054253183996882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1.271656648163245E-3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1.3096927137949657E-3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1.3477287794266865E-3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1.3857648450584074E-3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1.4238009106901277E-3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1.4602557380074396E-3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1.496710565324751E-3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1.5280102292729654E-3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1.5593098932211794E-3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1.5906095571693939E-3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1.6219092211176083E-3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1.6532088850658227E-3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1.6741171785875893E-3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1.6950254721093555E-3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1.7159337656311217E-3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1.736842059152888E-3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1.7577503526746544E-3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1.7689525093061978E-3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1.7801546659377411E-3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1.7913568225692846E-3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1.8025589792008275E-3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1.8137611358323708E-3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1.8214535958048586E-3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1.8291460557773457E-3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1.8368385157498332E-3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1.8445309757223203E-3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1.8522234356948078E-3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5.7520430496887844E-5</v>
      </c>
      <c r="C2" s="7">
        <f>$B2 * IFERROR(VLOOKUP("industry|NOx|Premature mortality", US_national_yearly!$D:$AM, 11, FALSE) / VLOOKUP("industry|NOx|Premature mortality", US_national_yearly!$D:$AM, 10, FALSE), 1)</f>
        <v>5.8370970004770353E-5</v>
      </c>
      <c r="D2" s="7">
        <f>$B2 * IFERROR(VLOOKUP("industry|NOx|Premature mortality", US_national_yearly!$D:$AM, 12, FALSE) / VLOOKUP("industry|NOx|Premature mortality", US_national_yearly!$D:$AM, 10, FALSE), 1)</f>
        <v>5.9221509512652875E-5</v>
      </c>
      <c r="E2" s="7">
        <f>$B2 * IFERROR(VLOOKUP("industry|NOx|Premature mortality", US_national_yearly!$D:$AM, 13, FALSE) / VLOOKUP("industry|NOx|Premature mortality", US_national_yearly!$D:$AM, 10, FALSE), 1)</f>
        <v>6.0072049020535383E-5</v>
      </c>
      <c r="F2" s="7">
        <f>$B2 * IFERROR(VLOOKUP("industry|NOx|Premature mortality", US_national_yearly!$D:$AM, 14, FALSE) / VLOOKUP("industry|NOx|Premature mortality", US_national_yearly!$D:$AM, 10, FALSE), 1)</f>
        <v>6.0922588528417905E-5</v>
      </c>
      <c r="G2" s="7">
        <f>$B2 * IFERROR(VLOOKUP("industry|NOx|Premature mortality", US_national_yearly!$D:$AM, 15, FALSE) / VLOOKUP("industry|NOx|Premature mortality", US_national_yearly!$D:$AM, 10, FALSE), 1)</f>
        <v>6.2447924378204806E-5</v>
      </c>
      <c r="H2" s="7">
        <f>$B2 * IFERROR(VLOOKUP("industry|NOx|Premature mortality", US_national_yearly!$D:$AM, 16, FALSE) / VLOOKUP("industry|NOx|Premature mortality", US_national_yearly!$D:$AM, 10, FALSE), 1)</f>
        <v>6.3973260227991708E-5</v>
      </c>
      <c r="I2" s="7">
        <f>$B2 * IFERROR(VLOOKUP("industry|NOx|Premature mortality", US_national_yearly!$D:$AM, 17, FALSE) / VLOOKUP("industry|NOx|Premature mortality", US_national_yearly!$D:$AM, 10, FALSE), 1)</f>
        <v>6.4962796918977957E-5</v>
      </c>
      <c r="J2" s="7">
        <f>$B2 * IFERROR(VLOOKUP("industry|NOx|Premature mortality", US_national_yearly!$D:$AM, 18, FALSE) / VLOOKUP("industry|NOx|Premature mortality", US_national_yearly!$D:$AM, 10, FALSE), 1)</f>
        <v>6.5952333609964206E-5</v>
      </c>
      <c r="K2" s="7">
        <f>$B2 * IFERROR(VLOOKUP("industry|NOx|Premature mortality", US_national_yearly!$D:$AM, 19, FALSE) / VLOOKUP("industry|NOx|Premature mortality", US_national_yearly!$D:$AM, 10, FALSE), 1)</f>
        <v>6.6941870300950482E-5</v>
      </c>
      <c r="L2" s="7">
        <f>$B2 * IFERROR(VLOOKUP("industry|NOx|Premature mortality", US_national_yearly!$D:$AM, 20, FALSE) / VLOOKUP("industry|NOx|Premature mortality", US_national_yearly!$D:$AM, 10, FALSE), 1)</f>
        <v>6.7931406991936731E-5</v>
      </c>
      <c r="M2" s="7">
        <f>$B2 * IFERROR(VLOOKUP("industry|NOx|Premature mortality", US_national_yearly!$D:$AM, 21, FALSE) / VLOOKUP("industry|NOx|Premature mortality", US_national_yearly!$D:$AM, 10, FALSE), 1)</f>
        <v>6.8920943682922981E-5</v>
      </c>
      <c r="N2" s="7">
        <f>$B2 * IFERROR(VLOOKUP("industry|NOx|Premature mortality", US_national_yearly!$D:$AM, 22, FALSE) / VLOOKUP("industry|NOx|Premature mortality", US_national_yearly!$D:$AM, 10, FALSE), 1)</f>
        <v>6.9657288106101856E-5</v>
      </c>
      <c r="O2" s="7">
        <f>$B2 * IFERROR(VLOOKUP("industry|NOx|Premature mortality", US_national_yearly!$D:$AM, 23, FALSE) / VLOOKUP("industry|NOx|Premature mortality", US_national_yearly!$D:$AM, 10, FALSE), 1)</f>
        <v>7.0393632529280732E-5</v>
      </c>
      <c r="P2" s="7">
        <f>$B2 * IFERROR(VLOOKUP("industry|NOx|Premature mortality", US_national_yearly!$D:$AM, 24, FALSE) / VLOOKUP("industry|NOx|Premature mortality", US_national_yearly!$D:$AM, 10, FALSE), 1)</f>
        <v>7.112997695245958E-5</v>
      </c>
      <c r="Q2" s="7">
        <f>$B2 * IFERROR(VLOOKUP("industry|NOx|Premature mortality", US_national_yearly!$D:$AM, 25, FALSE) / VLOOKUP("industry|NOx|Premature mortality", US_national_yearly!$D:$AM, 10, FALSE), 1)</f>
        <v>7.1866321375638442E-5</v>
      </c>
      <c r="R2" s="7">
        <f>$B2 * IFERROR(VLOOKUP("industry|NOx|Premature mortality", US_national_yearly!$D:$AM, 26, FALSE) / VLOOKUP("industry|NOx|Premature mortality", US_national_yearly!$D:$AM, 10, FALSE), 1)</f>
        <v>7.2602665798817304E-5</v>
      </c>
      <c r="S2" s="7">
        <f>$B2 * IFERROR(VLOOKUP("industry|NOx|Premature mortality", US_national_yearly!$D:$AM, 27, FALSE) / VLOOKUP("industry|NOx|Premature mortality", US_national_yearly!$D:$AM, 10, FALSE), 1)</f>
        <v>7.294555221864844E-5</v>
      </c>
      <c r="T2" s="7">
        <f>$B2 * IFERROR(VLOOKUP("industry|NOx|Premature mortality", US_national_yearly!$D:$AM, 28, FALSE) / VLOOKUP("industry|NOx|Premature mortality", US_national_yearly!$D:$AM, 10, FALSE), 1)</f>
        <v>7.3288438638479577E-5</v>
      </c>
      <c r="U2" s="7">
        <f>$B2 * IFERROR(VLOOKUP("industry|NOx|Premature mortality", US_national_yearly!$D:$AM, 29, FALSE) / VLOOKUP("industry|NOx|Premature mortality", US_national_yearly!$D:$AM, 10, FALSE), 1)</f>
        <v>7.3631325058310713E-5</v>
      </c>
      <c r="V2" s="7">
        <f>$B2 * IFERROR(VLOOKUP("industry|NOx|Premature mortality", US_national_yearly!$D:$AM, 30, FALSE) / VLOOKUP("industry|NOx|Premature mortality", US_national_yearly!$D:$AM, 10, FALSE), 1)</f>
        <v>7.3974211478141849E-5</v>
      </c>
      <c r="W2" s="7">
        <f>$B2 * IFERROR(VLOOKUP("industry|NOx|Premature mortality", US_national_yearly!$D:$AM, 31, FALSE) / VLOOKUP("industry|NOx|Premature mortality", US_national_yearly!$D:$AM, 10, FALSE), 1)</f>
        <v>7.4317097897972972E-5</v>
      </c>
      <c r="X2" s="7">
        <f>$B2 * IFERROR(VLOOKUP("industry|NOx|Premature mortality", US_national_yearly!$D:$AM, 32, FALSE) / VLOOKUP("industry|NOx|Premature mortality", US_national_yearly!$D:$AM, 10, FALSE), 1)</f>
        <v>7.4343302374787673E-5</v>
      </c>
      <c r="Y2" s="7">
        <f>$B2 * IFERROR(VLOOKUP("industry|NOx|Premature mortality", US_national_yearly!$D:$AM, 33, FALSE) / VLOOKUP("industry|NOx|Premature mortality", US_national_yearly!$D:$AM, 10, FALSE), 1)</f>
        <v>7.4369506851602375E-5</v>
      </c>
      <c r="Z2" s="7">
        <f>$B2 * IFERROR(VLOOKUP("industry|NOx|Premature mortality", US_national_yearly!$D:$AM, 34, FALSE) / VLOOKUP("industry|NOx|Premature mortality", US_national_yearly!$D:$AM, 10, FALSE), 1)</f>
        <v>7.4395711328417076E-5</v>
      </c>
      <c r="AA2" s="7">
        <f>$B2 * IFERROR(VLOOKUP("industry|NOx|Premature mortality", US_national_yearly!$D:$AM, 35, FALSE) / VLOOKUP("industry|NOx|Premature mortality", US_national_yearly!$D:$AM, 10, FALSE), 1)</f>
        <v>7.4421915805231777E-5</v>
      </c>
      <c r="AB2" s="7">
        <f>$B2 * IFERROR(VLOOKUP("industry|NOx|Premature mortality", US_national_yearly!$D:$AM, 36, FALSE) / VLOOKUP("industry|NOx|Premature mortality", US_national_yearly!$D:$AM, 10, FALSE), 1)</f>
        <v>7.4448120282046479E-5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7.660258589369556E-8</v>
      </c>
      <c r="C3" s="7">
        <f>$B3 * IFERROR(VLOOKUP("industry|NOx|Infant mortality", US_national_yearly!$D:$AM, 11, FALSE) / VLOOKUP("industry|NOx|Infant mortality", US_national_yearly!$D:$AM, 10, FALSE), 1)</f>
        <v>7.5868975765817951E-8</v>
      </c>
      <c r="D3" s="7">
        <f>$B3 * IFERROR(VLOOKUP("industry|NOx|Infant mortality", US_national_yearly!$D:$AM, 12, FALSE) / VLOOKUP("industry|NOx|Infant mortality", US_national_yearly!$D:$AM, 10, FALSE), 1)</f>
        <v>7.5135365637940328E-8</v>
      </c>
      <c r="E3" s="7">
        <f>$B3 * IFERROR(VLOOKUP("industry|NOx|Infant mortality", US_national_yearly!$D:$AM, 13, FALSE) / VLOOKUP("industry|NOx|Infant mortality", US_national_yearly!$D:$AM, 10, FALSE), 1)</f>
        <v>7.4401755510062718E-8</v>
      </c>
      <c r="F3" s="7">
        <f>$B3 * IFERROR(VLOOKUP("industry|NOx|Infant mortality", US_national_yearly!$D:$AM, 14, FALSE) / VLOOKUP("industry|NOx|Infant mortality", US_national_yearly!$D:$AM, 10, FALSE), 1)</f>
        <v>7.3668145382185096E-8</v>
      </c>
      <c r="G3" s="7">
        <f>$B3 * IFERROR(VLOOKUP("industry|NOx|Infant mortality", US_national_yearly!$D:$AM, 15, FALSE) / VLOOKUP("industry|NOx|Infant mortality", US_national_yearly!$D:$AM, 10, FALSE), 1)</f>
        <v>4.8863214170223679E-8</v>
      </c>
      <c r="H3" s="7">
        <f>$B3 * IFERROR(VLOOKUP("industry|NOx|Infant mortality", US_national_yearly!$D:$AM, 16, FALSE) / VLOOKUP("industry|NOx|Infant mortality", US_national_yearly!$D:$AM, 10, FALSE), 1)</f>
        <v>2.405828295826226E-8</v>
      </c>
      <c r="I3" s="7">
        <f>$B3 * IFERROR(VLOOKUP("industry|NOx|Infant mortality", US_national_yearly!$D:$AM, 17, FALSE) / VLOOKUP("industry|NOx|Infant mortality", US_national_yearly!$D:$AM, 10, FALSE), 1)</f>
        <v>2.3884833125610613E-8</v>
      </c>
      <c r="J3" s="7">
        <f>$B3 * IFERROR(VLOOKUP("industry|NOx|Infant mortality", US_national_yearly!$D:$AM, 18, FALSE) / VLOOKUP("industry|NOx|Infant mortality", US_national_yearly!$D:$AM, 10, FALSE), 1)</f>
        <v>2.371138329295897E-8</v>
      </c>
      <c r="K3" s="7">
        <f>$B3 * IFERROR(VLOOKUP("industry|NOx|Infant mortality", US_national_yearly!$D:$AM, 19, FALSE) / VLOOKUP("industry|NOx|Infant mortality", US_national_yearly!$D:$AM, 10, FALSE), 1)</f>
        <v>2.353793346030732E-8</v>
      </c>
      <c r="L3" s="7">
        <f>$B3 * IFERROR(VLOOKUP("industry|NOx|Infant mortality", US_national_yearly!$D:$AM, 20, FALSE) / VLOOKUP("industry|NOx|Infant mortality", US_national_yearly!$D:$AM, 10, FALSE), 1)</f>
        <v>2.3364483627655671E-8</v>
      </c>
      <c r="M3" s="7">
        <f>$B3 * IFERROR(VLOOKUP("industry|NOx|Infant mortality", US_national_yearly!$D:$AM, 21, FALSE) / VLOOKUP("industry|NOx|Infant mortality", US_national_yearly!$D:$AM, 10, FALSE), 1)</f>
        <v>2.3191033795004021E-8</v>
      </c>
      <c r="N3" s="7">
        <f>$B3 * IFERROR(VLOOKUP("industry|NOx|Infant mortality", US_national_yearly!$D:$AM, 22, FALSE) / VLOOKUP("industry|NOx|Infant mortality", US_national_yearly!$D:$AM, 10, FALSE), 1)</f>
        <v>2.3074171121558287E-8</v>
      </c>
      <c r="O3" s="7">
        <f>$B3 * IFERROR(VLOOKUP("industry|NOx|Infant mortality", US_national_yearly!$D:$AM, 23, FALSE) / VLOOKUP("industry|NOx|Infant mortality", US_national_yearly!$D:$AM, 10, FALSE), 1)</f>
        <v>2.2957308448112547E-8</v>
      </c>
      <c r="P3" s="7">
        <f>$B3 * IFERROR(VLOOKUP("industry|NOx|Infant mortality", US_national_yearly!$D:$AM, 24, FALSE) / VLOOKUP("industry|NOx|Infant mortality", US_national_yearly!$D:$AM, 10, FALSE), 1)</f>
        <v>2.2840445774666811E-8</v>
      </c>
      <c r="Q3" s="7">
        <f>$B3 * IFERROR(VLOOKUP("industry|NOx|Infant mortality", US_national_yearly!$D:$AM, 25, FALSE) / VLOOKUP("industry|NOx|Infant mortality", US_national_yearly!$D:$AM, 10, FALSE), 1)</f>
        <v>2.2723583101221074E-8</v>
      </c>
      <c r="R3" s="7">
        <f>$B3 * IFERROR(VLOOKUP("industry|NOx|Infant mortality", US_national_yearly!$D:$AM, 26, FALSE) / VLOOKUP("industry|NOx|Infant mortality", US_national_yearly!$D:$AM, 10, FALSE), 1)</f>
        <v>2.2606720427775337E-8</v>
      </c>
      <c r="S3" s="7">
        <f>$B3 * IFERROR(VLOOKUP("industry|NOx|Infant mortality", US_national_yearly!$D:$AM, 27, FALSE) / VLOOKUP("industry|NOx|Infant mortality", US_national_yearly!$D:$AM, 10, FALSE), 1)</f>
        <v>2.2467948092338238E-8</v>
      </c>
      <c r="T3" s="7">
        <f>$B3 * IFERROR(VLOOKUP("industry|NOx|Infant mortality", US_national_yearly!$D:$AM, 28, FALSE) / VLOOKUP("industry|NOx|Infant mortality", US_national_yearly!$D:$AM, 10, FALSE), 1)</f>
        <v>2.2329175756901138E-8</v>
      </c>
      <c r="U3" s="7">
        <f>$B3 * IFERROR(VLOOKUP("industry|NOx|Infant mortality", US_national_yearly!$D:$AM, 29, FALSE) / VLOOKUP("industry|NOx|Infant mortality", US_national_yearly!$D:$AM, 10, FALSE), 1)</f>
        <v>2.2190403421464038E-8</v>
      </c>
      <c r="V3" s="7">
        <f>$B3 * IFERROR(VLOOKUP("industry|NOx|Infant mortality", US_national_yearly!$D:$AM, 30, FALSE) / VLOOKUP("industry|NOx|Infant mortality", US_national_yearly!$D:$AM, 10, FALSE), 1)</f>
        <v>2.2051631086026939E-8</v>
      </c>
      <c r="W3" s="7">
        <f>$B3 * IFERROR(VLOOKUP("industry|NOx|Infant mortality", US_national_yearly!$D:$AM, 31, FALSE) / VLOOKUP("industry|NOx|Infant mortality", US_national_yearly!$D:$AM, 10, FALSE), 1)</f>
        <v>2.1912858750589842E-8</v>
      </c>
      <c r="X3" s="7">
        <f>$B3 * IFERROR(VLOOKUP("industry|NOx|Infant mortality", US_national_yearly!$D:$AM, 32, FALSE) / VLOOKUP("industry|NOx|Infant mortality", US_national_yearly!$D:$AM, 10, FALSE), 1)</f>
        <v>2.1767132432387828E-8</v>
      </c>
      <c r="Y3" s="7">
        <f>$B3 * IFERROR(VLOOKUP("industry|NOx|Infant mortality", US_national_yearly!$D:$AM, 33, FALSE) / VLOOKUP("industry|NOx|Infant mortality", US_national_yearly!$D:$AM, 10, FALSE), 1)</f>
        <v>2.1621406114185814E-8</v>
      </c>
      <c r="Z3" s="7">
        <f>$B3 * IFERROR(VLOOKUP("industry|NOx|Infant mortality", US_national_yearly!$D:$AM, 34, FALSE) / VLOOKUP("industry|NOx|Infant mortality", US_national_yearly!$D:$AM, 10, FALSE), 1)</f>
        <v>2.1475679795983804E-8</v>
      </c>
      <c r="AA3" s="7">
        <f>$B3 * IFERROR(VLOOKUP("industry|NOx|Infant mortality", US_national_yearly!$D:$AM, 35, FALSE) / VLOOKUP("industry|NOx|Infant mortality", US_national_yearly!$D:$AM, 10, FALSE), 1)</f>
        <v>2.1329953477781793E-8</v>
      </c>
      <c r="AB3" s="7">
        <f>$B3 * IFERROR(VLOOKUP("industry|NOx|Infant mortality", US_national_yearly!$D:$AM, 36, FALSE) / VLOOKUP("industry|NOx|Infant mortality", US_national_yearly!$D:$AM, 10, FALSE), 1)</f>
        <v>2.1184227159579779E-8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1.1193166684239234E-4</v>
      </c>
      <c r="C6" s="7">
        <f>$B6 * IFERROR(VLOOKUP("industry|NOx|Asthma symptoms cough", US_national_yearly!$D:$AM, 11, FALSE) / VLOOKUP("industry|NOx|Asthma symptoms cough", US_national_yearly!$D:$AM, 10, FALSE), 1)</f>
        <v>1.134629300252295E-4</v>
      </c>
      <c r="D6" s="7">
        <f>$B6 * IFERROR(VLOOKUP("industry|NOx|Asthma symptoms cough", US_national_yearly!$D:$AM, 12, FALSE) / VLOOKUP("industry|NOx|Asthma symptoms cough", US_national_yearly!$D:$AM, 10, FALSE), 1)</f>
        <v>1.1499419320806667E-4</v>
      </c>
      <c r="E6" s="7">
        <f>$B6 * IFERROR(VLOOKUP("industry|NOx|Asthma symptoms cough", US_national_yearly!$D:$AM, 13, FALSE) / VLOOKUP("industry|NOx|Asthma symptoms cough", US_national_yearly!$D:$AM, 10, FALSE), 1)</f>
        <v>1.1652545639090383E-4</v>
      </c>
      <c r="F6" s="7">
        <f>$B6 * IFERROR(VLOOKUP("industry|NOx|Asthma symptoms cough", US_national_yearly!$D:$AM, 14, FALSE) / VLOOKUP("industry|NOx|Asthma symptoms cough", US_national_yearly!$D:$AM, 10, FALSE), 1)</f>
        <v>1.18056719573741E-4</v>
      </c>
      <c r="G6" s="7">
        <f>$B6 * IFERROR(VLOOKUP("industry|NOx|Asthma symptoms cough", US_national_yearly!$D:$AM, 15, FALSE) / VLOOKUP("industry|NOx|Asthma symptoms cough", US_national_yearly!$D:$AM, 10, FALSE), 1)</f>
        <v>1.1928455509011307E-4</v>
      </c>
      <c r="H6" s="7">
        <f>$B6 * IFERROR(VLOOKUP("industry|NOx|Asthma symptoms cough", US_national_yearly!$D:$AM, 16, FALSE) / VLOOKUP("industry|NOx|Asthma symptoms cough", US_national_yearly!$D:$AM, 10, FALSE), 1)</f>
        <v>1.2051239060648517E-4</v>
      </c>
      <c r="I6" s="7">
        <f>$B6 * IFERROR(VLOOKUP("industry|NOx|Asthma symptoms cough", US_national_yearly!$D:$AM, 17, FALSE) / VLOOKUP("industry|NOx|Asthma symptoms cough", US_national_yearly!$D:$AM, 10, FALSE), 1)</f>
        <v>1.2093968825102663E-4</v>
      </c>
      <c r="J6" s="7">
        <f>$B6 * IFERROR(VLOOKUP("industry|NOx|Asthma symptoms cough", US_national_yearly!$D:$AM, 18, FALSE) / VLOOKUP("industry|NOx|Asthma symptoms cough", US_national_yearly!$D:$AM, 10, FALSE), 1)</f>
        <v>1.2136698589556812E-4</v>
      </c>
      <c r="K6" s="7">
        <f>$B6 * IFERROR(VLOOKUP("industry|NOx|Asthma symptoms cough", US_national_yearly!$D:$AM, 19, FALSE) / VLOOKUP("industry|NOx|Asthma symptoms cough", US_national_yearly!$D:$AM, 10, FALSE), 1)</f>
        <v>1.2179428354010958E-4</v>
      </c>
      <c r="L6" s="7">
        <f>$B6 * IFERROR(VLOOKUP("industry|NOx|Asthma symptoms cough", US_national_yearly!$D:$AM, 20, FALSE) / VLOOKUP("industry|NOx|Asthma symptoms cough", US_national_yearly!$D:$AM, 10, FALSE), 1)</f>
        <v>1.2222158118465107E-4</v>
      </c>
      <c r="M6" s="7">
        <f>$B6 * IFERROR(VLOOKUP("industry|NOx|Asthma symptoms cough", US_national_yearly!$D:$AM, 21, FALSE) / VLOOKUP("industry|NOx|Asthma symptoms cough", US_national_yearly!$D:$AM, 10, FALSE), 1)</f>
        <v>1.2264887882919255E-4</v>
      </c>
      <c r="N6" s="7">
        <f>$B6 * IFERROR(VLOOKUP("industry|NOx|Asthma symptoms cough", US_national_yearly!$D:$AM, 22, FALSE) / VLOOKUP("industry|NOx|Asthma symptoms cough", US_national_yearly!$D:$AM, 10, FALSE), 1)</f>
        <v>1.2313665075509525E-4</v>
      </c>
      <c r="O6" s="7">
        <f>$B6 * IFERROR(VLOOKUP("industry|NOx|Asthma symptoms cough", US_national_yearly!$D:$AM, 23, FALSE) / VLOOKUP("industry|NOx|Asthma symptoms cough", US_national_yearly!$D:$AM, 10, FALSE), 1)</f>
        <v>1.2362442268099792E-4</v>
      </c>
      <c r="P6" s="7">
        <f>$B6 * IFERROR(VLOOKUP("industry|NOx|Asthma symptoms cough", US_national_yearly!$D:$AM, 24, FALSE) / VLOOKUP("industry|NOx|Asthma symptoms cough", US_national_yearly!$D:$AM, 10, FALSE), 1)</f>
        <v>1.2411219460690059E-4</v>
      </c>
      <c r="Q6" s="7">
        <f>$B6 * IFERROR(VLOOKUP("industry|NOx|Asthma symptoms cough", US_national_yearly!$D:$AM, 25, FALSE) / VLOOKUP("industry|NOx|Asthma symptoms cough", US_national_yearly!$D:$AM, 10, FALSE), 1)</f>
        <v>1.2459996653280329E-4</v>
      </c>
      <c r="R6" s="7">
        <f>$B6 * IFERROR(VLOOKUP("industry|NOx|Asthma symptoms cough", US_national_yearly!$D:$AM, 26, FALSE) / VLOOKUP("industry|NOx|Asthma symptoms cough", US_national_yearly!$D:$AM, 10, FALSE), 1)</f>
        <v>1.2508773845870596E-4</v>
      </c>
      <c r="S6" s="7">
        <f>$B6 * IFERROR(VLOOKUP("industry|NOx|Asthma symptoms cough", US_national_yearly!$D:$AM, 27, FALSE) / VLOOKUP("industry|NOx|Asthma symptoms cough", US_national_yearly!$D:$AM, 10, FALSE), 1)</f>
        <v>1.2571694266115915E-4</v>
      </c>
      <c r="T6" s="7">
        <f>$B6 * IFERROR(VLOOKUP("industry|NOx|Asthma symptoms cough", US_national_yearly!$D:$AM, 28, FALSE) / VLOOKUP("industry|NOx|Asthma symptoms cough", US_national_yearly!$D:$AM, 10, FALSE), 1)</f>
        <v>1.2634614686361234E-4</v>
      </c>
      <c r="U6" s="7">
        <f>$B6 * IFERROR(VLOOKUP("industry|NOx|Asthma symptoms cough", US_national_yearly!$D:$AM, 29, FALSE) / VLOOKUP("industry|NOx|Asthma symptoms cough", US_national_yearly!$D:$AM, 10, FALSE), 1)</f>
        <v>1.2697535106606552E-4</v>
      </c>
      <c r="V6" s="7">
        <f>$B6 * IFERROR(VLOOKUP("industry|NOx|Asthma symptoms cough", US_national_yearly!$D:$AM, 30, FALSE) / VLOOKUP("industry|NOx|Asthma symptoms cough", US_national_yearly!$D:$AM, 10, FALSE), 1)</f>
        <v>1.2760455526851869E-4</v>
      </c>
      <c r="W6" s="7">
        <f>$B6 * IFERROR(VLOOKUP("industry|NOx|Asthma symptoms cough", US_national_yearly!$D:$AM, 31, FALSE) / VLOOKUP("industry|NOx|Asthma symptoms cough", US_national_yearly!$D:$AM, 10, FALSE), 1)</f>
        <v>1.282337594709719E-4</v>
      </c>
      <c r="X6" s="7">
        <f>$B6 * IFERROR(VLOOKUP("industry|NOx|Asthma symptoms cough", US_national_yearly!$D:$AM, 32, FALSE) / VLOOKUP("industry|NOx|Asthma symptoms cough", US_national_yearly!$D:$AM, 10, FALSE), 1)</f>
        <v>1.2881708015157929E-4</v>
      </c>
      <c r="Y6" s="7">
        <f>$B6 * IFERROR(VLOOKUP("industry|NOx|Asthma symptoms cough", US_national_yearly!$D:$AM, 33, FALSE) / VLOOKUP("industry|NOx|Asthma symptoms cough", US_national_yearly!$D:$AM, 10, FALSE), 1)</f>
        <v>1.2940040083218664E-4</v>
      </c>
      <c r="Z6" s="7">
        <f>$B6 * IFERROR(VLOOKUP("industry|NOx|Asthma symptoms cough", US_national_yearly!$D:$AM, 34, FALSE) / VLOOKUP("industry|NOx|Asthma symptoms cough", US_national_yearly!$D:$AM, 10, FALSE), 1)</f>
        <v>1.2998372151279403E-4</v>
      </c>
      <c r="AA6" s="7">
        <f>$B6 * IFERROR(VLOOKUP("industry|NOx|Asthma symptoms cough", US_national_yearly!$D:$AM, 35, FALSE) / VLOOKUP("industry|NOx|Asthma symptoms cough", US_national_yearly!$D:$AM, 10, FALSE), 1)</f>
        <v>1.3056704219340139E-4</v>
      </c>
      <c r="AB6" s="7">
        <f>$B6 * IFERROR(VLOOKUP("industry|NOx|Asthma symptoms cough", US_national_yearly!$D:$AM, 36, FALSE) / VLOOKUP("industry|NOx|Asthma symptoms cough", US_national_yearly!$D:$AM, 10, FALSE), 1)</f>
        <v>1.3115036287400877E-4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1.5073236043421998E-4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1.5279443026679717E-4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1.5485650009937433E-4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1.5691856993195152E-4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1.5898063976452873E-4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1.6063409986339139E-4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1.6228755996225411E-4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1.6286297872924121E-4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1.634383974962283E-4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1.640138162632154E-4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1.6458923503020258E-4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1.6516465379718968E-4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1.658215100296983E-4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1.6647836626220694E-4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1.6713522249471558E-4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1.6779207872722425E-4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1.684489349597329E-4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1.6929625043990022E-4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1.701435659200676E-4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1.7099088140023496E-4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1.7183819688040234E-4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1.7268551236056964E-4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1.734710389671342E-4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1.7425656557369871E-4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1.7504209218026324E-4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1.7582761878682778E-4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1.7661314539339228E-4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2.3029304156537683E-4</v>
      </c>
      <c r="C8" s="7">
        <f>$B8 * IFERROR(VLOOKUP("industry|NOx|Asthma symptoms wheeze", US_national_yearly!$D:$AM, 11, FALSE) / VLOOKUP("industry|NOx|Asthma symptoms wheeze", US_national_yearly!$D:$AM, 10, FALSE), 1)</f>
        <v>2.3344352851869952E-4</v>
      </c>
      <c r="D8" s="7">
        <f>$B8 * IFERROR(VLOOKUP("industry|NOx|Asthma symptoms wheeze", US_national_yearly!$D:$AM, 12, FALSE) / VLOOKUP("industry|NOx|Asthma symptoms wheeze", US_national_yearly!$D:$AM, 10, FALSE), 1)</f>
        <v>2.3659401547202217E-4</v>
      </c>
      <c r="E8" s="7">
        <f>$B8 * IFERROR(VLOOKUP("industry|NOx|Asthma symptoms wheeze", US_national_yearly!$D:$AM, 13, FALSE) / VLOOKUP("industry|NOx|Asthma symptoms wheeze", US_national_yearly!$D:$AM, 10, FALSE), 1)</f>
        <v>2.3974450242534486E-4</v>
      </c>
      <c r="F8" s="7">
        <f>$B8 * IFERROR(VLOOKUP("industry|NOx|Asthma symptoms wheeze", US_national_yearly!$D:$AM, 14, FALSE) / VLOOKUP("industry|NOx|Asthma symptoms wheeze", US_national_yearly!$D:$AM, 10, FALSE), 1)</f>
        <v>2.4289498937866749E-4</v>
      </c>
      <c r="G8" s="7">
        <f>$B8 * IFERROR(VLOOKUP("industry|NOx|Asthma symptoms wheeze", US_national_yearly!$D:$AM, 15, FALSE) / VLOOKUP("industry|NOx|Asthma symptoms wheeze", US_national_yearly!$D:$AM, 10, FALSE), 1)</f>
        <v>2.454211911573642E-4</v>
      </c>
      <c r="H8" s="7">
        <f>$B8 * IFERROR(VLOOKUP("industry|NOx|Asthma symptoms wheeze", US_national_yearly!$D:$AM, 16, FALSE) / VLOOKUP("industry|NOx|Asthma symptoms wheeze", US_national_yearly!$D:$AM, 10, FALSE), 1)</f>
        <v>2.4794739293606079E-4</v>
      </c>
      <c r="I8" s="7">
        <f>$B8 * IFERROR(VLOOKUP("industry|NOx|Asthma symptoms wheeze", US_national_yearly!$D:$AM, 17, FALSE) / VLOOKUP("industry|NOx|Asthma symptoms wheeze", US_national_yearly!$D:$AM, 10, FALSE), 1)</f>
        <v>2.4882653355073414E-4</v>
      </c>
      <c r="J8" s="7">
        <f>$B8 * IFERROR(VLOOKUP("industry|NOx|Asthma symptoms wheeze", US_national_yearly!$D:$AM, 18, FALSE) / VLOOKUP("industry|NOx|Asthma symptoms wheeze", US_national_yearly!$D:$AM, 10, FALSE), 1)</f>
        <v>2.4970567416540739E-4</v>
      </c>
      <c r="K8" s="7">
        <f>$B8 * IFERROR(VLOOKUP("industry|NOx|Asthma symptoms wheeze", US_national_yearly!$D:$AM, 19, FALSE) / VLOOKUP("industry|NOx|Asthma symptoms wheeze", US_national_yearly!$D:$AM, 10, FALSE), 1)</f>
        <v>2.5058481478008074E-4</v>
      </c>
      <c r="L8" s="7">
        <f>$B8 * IFERROR(VLOOKUP("industry|NOx|Asthma symptoms wheeze", US_national_yearly!$D:$AM, 20, FALSE) / VLOOKUP("industry|NOx|Asthma symptoms wheeze", US_national_yearly!$D:$AM, 10, FALSE), 1)</f>
        <v>2.5146395539475398E-4</v>
      </c>
      <c r="M8" s="7">
        <f>$B8 * IFERROR(VLOOKUP("industry|NOx|Asthma symptoms wheeze", US_national_yearly!$D:$AM, 21, FALSE) / VLOOKUP("industry|NOx|Asthma symptoms wheeze", US_national_yearly!$D:$AM, 10, FALSE), 1)</f>
        <v>2.5234309600942728E-4</v>
      </c>
      <c r="N8" s="7">
        <f>$B8 * IFERROR(VLOOKUP("industry|NOx|Asthma symptoms wheeze", US_national_yearly!$D:$AM, 22, FALSE) / VLOOKUP("industry|NOx|Asthma symptoms wheeze", US_national_yearly!$D:$AM, 10, FALSE), 1)</f>
        <v>2.5334665902023931E-4</v>
      </c>
      <c r="O8" s="7">
        <f>$B8 * IFERROR(VLOOKUP("industry|NOx|Asthma symptoms wheeze", US_national_yearly!$D:$AM, 23, FALSE) / VLOOKUP("industry|NOx|Asthma symptoms wheeze", US_national_yearly!$D:$AM, 10, FALSE), 1)</f>
        <v>2.5435022203105134E-4</v>
      </c>
      <c r="P8" s="7">
        <f>$B8 * IFERROR(VLOOKUP("industry|NOx|Asthma symptoms wheeze", US_national_yearly!$D:$AM, 24, FALSE) / VLOOKUP("industry|NOx|Asthma symptoms wheeze", US_national_yearly!$D:$AM, 10, FALSE), 1)</f>
        <v>2.5535378504186338E-4</v>
      </c>
      <c r="Q8" s="7">
        <f>$B8 * IFERROR(VLOOKUP("industry|NOx|Asthma symptoms wheeze", US_national_yearly!$D:$AM, 25, FALSE) / VLOOKUP("industry|NOx|Asthma symptoms wheeze", US_national_yearly!$D:$AM, 10, FALSE), 1)</f>
        <v>2.5635734805267541E-4</v>
      </c>
      <c r="R8" s="7">
        <f>$B8 * IFERROR(VLOOKUP("industry|NOx|Asthma symptoms wheeze", US_national_yearly!$D:$AM, 26, FALSE) / VLOOKUP("industry|NOx|Asthma symptoms wheeze", US_national_yearly!$D:$AM, 10, FALSE), 1)</f>
        <v>2.5736091106348744E-4</v>
      </c>
      <c r="S8" s="7">
        <f>$B8 * IFERROR(VLOOKUP("industry|NOx|Asthma symptoms wheeze", US_national_yearly!$D:$AM, 27, FALSE) / VLOOKUP("industry|NOx|Asthma symptoms wheeze", US_national_yearly!$D:$AM, 10, FALSE), 1)</f>
        <v>2.5865546294334414E-4</v>
      </c>
      <c r="T8" s="7">
        <f>$B8 * IFERROR(VLOOKUP("industry|NOx|Asthma symptoms wheeze", US_national_yearly!$D:$AM, 28, FALSE) / VLOOKUP("industry|NOx|Asthma symptoms wheeze", US_national_yearly!$D:$AM, 10, FALSE), 1)</f>
        <v>2.5995001482320078E-4</v>
      </c>
      <c r="U8" s="7">
        <f>$B8 * IFERROR(VLOOKUP("industry|NOx|Asthma symptoms wheeze", US_national_yearly!$D:$AM, 29, FALSE) / VLOOKUP("industry|NOx|Asthma symptoms wheeze", US_national_yearly!$D:$AM, 10, FALSE), 1)</f>
        <v>2.6124456670305741E-4</v>
      </c>
      <c r="V8" s="7">
        <f>$B8 * IFERROR(VLOOKUP("industry|NOx|Asthma symptoms wheeze", US_national_yearly!$D:$AM, 30, FALSE) / VLOOKUP("industry|NOx|Asthma symptoms wheeze", US_national_yearly!$D:$AM, 10, FALSE), 1)</f>
        <v>2.6253911858291405E-4</v>
      </c>
      <c r="W8" s="7">
        <f>$B8 * IFERROR(VLOOKUP("industry|NOx|Asthma symptoms wheeze", US_national_yearly!$D:$AM, 31, FALSE) / VLOOKUP("industry|NOx|Asthma symptoms wheeze", US_national_yearly!$D:$AM, 10, FALSE), 1)</f>
        <v>2.6383367046277069E-4</v>
      </c>
      <c r="X8" s="7">
        <f>$B8 * IFERROR(VLOOKUP("industry|NOx|Asthma symptoms wheeze", US_national_yearly!$D:$AM, 32, FALSE) / VLOOKUP("industry|NOx|Asthma symptoms wheeze", US_national_yearly!$D:$AM, 10, FALSE), 1)</f>
        <v>2.650338196046292E-4</v>
      </c>
      <c r="Y8" s="7">
        <f>$B8 * IFERROR(VLOOKUP("industry|NOx|Asthma symptoms wheeze", US_national_yearly!$D:$AM, 33, FALSE) / VLOOKUP("industry|NOx|Asthma symptoms wheeze", US_national_yearly!$D:$AM, 10, FALSE), 1)</f>
        <v>2.6623396874648759E-4</v>
      </c>
      <c r="Z8" s="7">
        <f>$B8 * IFERROR(VLOOKUP("industry|NOx|Asthma symptoms wheeze", US_national_yearly!$D:$AM, 34, FALSE) / VLOOKUP("industry|NOx|Asthma symptoms wheeze", US_national_yearly!$D:$AM, 10, FALSE), 1)</f>
        <v>2.6743411788834605E-4</v>
      </c>
      <c r="AA8" s="7">
        <f>$B8 * IFERROR(VLOOKUP("industry|NOx|Asthma symptoms wheeze", US_national_yearly!$D:$AM, 35, FALSE) / VLOOKUP("industry|NOx|Asthma symptoms wheeze", US_national_yearly!$D:$AM, 10, FALSE), 1)</f>
        <v>2.6863426703020439E-4</v>
      </c>
      <c r="AB8" s="7">
        <f>$B8 * IFERROR(VLOOKUP("industry|NOx|Asthma symptoms wheeze", US_national_yearly!$D:$AM, 36, FALSE) / VLOOKUP("industry|NOx|Asthma symptoms wheeze", US_national_yearly!$D:$AM, 10, FALSE), 1)</f>
        <v>2.6983441617206306E-4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4.2538223823842954E-6</v>
      </c>
      <c r="C12" s="7">
        <f>$B12 * IFERROR(VLOOKUP("industry|NOx|Respiratory hospital admissions", US_national_yearly!$D:$AM, 11, FALSE) / VLOOKUP("industry|NOx|Respiratory hospital admissions", US_national_yearly!$D:$AM, 10, FALSE), 1)</f>
        <v>4.3606924936022542E-6</v>
      </c>
      <c r="D12" s="7">
        <f>$B12 * IFERROR(VLOOKUP("industry|NOx|Respiratory hospital admissions", US_national_yearly!$D:$AM, 12, FALSE) / VLOOKUP("industry|NOx|Respiratory hospital admissions", US_national_yearly!$D:$AM, 10, FALSE), 1)</f>
        <v>4.467562604820213E-6</v>
      </c>
      <c r="E12" s="7">
        <f>$B12 * IFERROR(VLOOKUP("industry|NOx|Respiratory hospital admissions", US_national_yearly!$D:$AM, 13, FALSE) / VLOOKUP("industry|NOx|Respiratory hospital admissions", US_national_yearly!$D:$AM, 10, FALSE), 1)</f>
        <v>4.5744327160381727E-6</v>
      </c>
      <c r="F12" s="7">
        <f>$B12 * IFERROR(VLOOKUP("industry|NOx|Respiratory hospital admissions", US_national_yearly!$D:$AM, 14, FALSE) / VLOOKUP("industry|NOx|Respiratory hospital admissions", US_national_yearly!$D:$AM, 10, FALSE), 1)</f>
        <v>4.6813028272561306E-6</v>
      </c>
      <c r="G12" s="7">
        <f>$B12 * IFERROR(VLOOKUP("industry|NOx|Respiratory hospital admissions", US_national_yearly!$D:$AM, 15, FALSE) / VLOOKUP("industry|NOx|Respiratory hospital admissions", US_national_yearly!$D:$AM, 10, FALSE), 1)</f>
        <v>4.7835288408556308E-6</v>
      </c>
      <c r="H12" s="7">
        <f>$B12 * IFERROR(VLOOKUP("industry|NOx|Respiratory hospital admissions", US_national_yearly!$D:$AM, 16, FALSE) / VLOOKUP("industry|NOx|Respiratory hospital admissions", US_national_yearly!$D:$AM, 10, FALSE), 1)</f>
        <v>4.8857548544551309E-6</v>
      </c>
      <c r="I12" s="7">
        <f>$B12 * IFERROR(VLOOKUP("industry|NOx|Respiratory hospital admissions", US_national_yearly!$D:$AM, 17, FALSE) / VLOOKUP("industry|NOx|Respiratory hospital admissions", US_national_yearly!$D:$AM, 10, FALSE), 1)</f>
        <v>4.9728141865221506E-6</v>
      </c>
      <c r="J12" s="7">
        <f>$B12 * IFERROR(VLOOKUP("industry|NOx|Respiratory hospital admissions", US_national_yearly!$D:$AM, 18, FALSE) / VLOOKUP("industry|NOx|Respiratory hospital admissions", US_national_yearly!$D:$AM, 10, FALSE), 1)</f>
        <v>5.0598735185891702E-6</v>
      </c>
      <c r="K12" s="7">
        <f>$B12 * IFERROR(VLOOKUP("industry|NOx|Respiratory hospital admissions", US_national_yearly!$D:$AM, 19, FALSE) / VLOOKUP("industry|NOx|Respiratory hospital admissions", US_national_yearly!$D:$AM, 10, FALSE), 1)</f>
        <v>5.1469328506561907E-6</v>
      </c>
      <c r="L12" s="7">
        <f>$B12 * IFERROR(VLOOKUP("industry|NOx|Respiratory hospital admissions", US_national_yearly!$D:$AM, 20, FALSE) / VLOOKUP("industry|NOx|Respiratory hospital admissions", US_national_yearly!$D:$AM, 10, FALSE), 1)</f>
        <v>5.2339921827232111E-6</v>
      </c>
      <c r="M12" s="7">
        <f>$B12 * IFERROR(VLOOKUP("industry|NOx|Respiratory hospital admissions", US_national_yearly!$D:$AM, 21, FALSE) / VLOOKUP("industry|NOx|Respiratory hospital admissions", US_national_yearly!$D:$AM, 10, FALSE), 1)</f>
        <v>5.3210515147902308E-6</v>
      </c>
      <c r="N12" s="7">
        <f>$B12 * IFERROR(VLOOKUP("industry|NOx|Respiratory hospital admissions", US_national_yearly!$D:$AM, 22, FALSE) / VLOOKUP("industry|NOx|Respiratory hospital admissions", US_national_yearly!$D:$AM, 10, FALSE), 1)</f>
        <v>5.3794001581768101E-6</v>
      </c>
      <c r="O12" s="7">
        <f>$B12 * IFERROR(VLOOKUP("industry|NOx|Respiratory hospital admissions", US_national_yearly!$D:$AM, 23, FALSE) / VLOOKUP("industry|NOx|Respiratory hospital admissions", US_national_yearly!$D:$AM, 10, FALSE), 1)</f>
        <v>5.4377488015633887E-6</v>
      </c>
      <c r="P12" s="7">
        <f>$B12 * IFERROR(VLOOKUP("industry|NOx|Respiratory hospital admissions", US_national_yearly!$D:$AM, 24, FALSE) / VLOOKUP("industry|NOx|Respiratory hospital admissions", US_national_yearly!$D:$AM, 10, FALSE), 1)</f>
        <v>5.496097444949968E-6</v>
      </c>
      <c r="Q12" s="7">
        <f>$B12 * IFERROR(VLOOKUP("industry|NOx|Respiratory hospital admissions", US_national_yearly!$D:$AM, 25, FALSE) / VLOOKUP("industry|NOx|Respiratory hospital admissions", US_national_yearly!$D:$AM, 10, FALSE), 1)</f>
        <v>5.5544460883365457E-6</v>
      </c>
      <c r="R12" s="7">
        <f>$B12 * IFERROR(VLOOKUP("industry|NOx|Respiratory hospital admissions", US_national_yearly!$D:$AM, 26, FALSE) / VLOOKUP("industry|NOx|Respiratory hospital admissions", US_national_yearly!$D:$AM, 10, FALSE), 1)</f>
        <v>5.6127947317231251E-6</v>
      </c>
      <c r="S12" s="7">
        <f>$B12 * IFERROR(VLOOKUP("industry|NOx|Respiratory hospital admissions", US_national_yearly!$D:$AM, 27, FALSE) / VLOOKUP("industry|NOx|Respiratory hospital admissions", US_national_yearly!$D:$AM, 10, FALSE), 1)</f>
        <v>5.6444729753366954E-6</v>
      </c>
      <c r="T12" s="7">
        <f>$B12 * IFERROR(VLOOKUP("industry|NOx|Respiratory hospital admissions", US_national_yearly!$D:$AM, 28, FALSE) / VLOOKUP("industry|NOx|Respiratory hospital admissions", US_national_yearly!$D:$AM, 10, FALSE), 1)</f>
        <v>5.6761512189502666E-6</v>
      </c>
      <c r="U12" s="7">
        <f>$B12 * IFERROR(VLOOKUP("industry|NOx|Respiratory hospital admissions", US_national_yearly!$D:$AM, 29, FALSE) / VLOOKUP("industry|NOx|Respiratory hospital admissions", US_national_yearly!$D:$AM, 10, FALSE), 1)</f>
        <v>5.707829462563837E-6</v>
      </c>
      <c r="V12" s="7">
        <f>$B12 * IFERROR(VLOOKUP("industry|NOx|Respiratory hospital admissions", US_national_yearly!$D:$AM, 30, FALSE) / VLOOKUP("industry|NOx|Respiratory hospital admissions", US_national_yearly!$D:$AM, 10, FALSE), 1)</f>
        <v>5.7395077061774073E-6</v>
      </c>
      <c r="W12" s="7">
        <f>$B12 * IFERROR(VLOOKUP("industry|NOx|Respiratory hospital admissions", US_national_yearly!$D:$AM, 31, FALSE) / VLOOKUP("industry|NOx|Respiratory hospital admissions", US_national_yearly!$D:$AM, 10, FALSE), 1)</f>
        <v>5.7711859497909785E-6</v>
      </c>
      <c r="X12" s="7">
        <f>$B12 * IFERROR(VLOOKUP("industry|NOx|Respiratory hospital admissions", US_national_yearly!$D:$AM, 32, FALSE) / VLOOKUP("industry|NOx|Respiratory hospital admissions", US_national_yearly!$D:$AM, 10, FALSE), 1)</f>
        <v>5.7932739726555291E-6</v>
      </c>
      <c r="Y12" s="7">
        <f>$B12 * IFERROR(VLOOKUP("industry|NOx|Respiratory hospital admissions", US_national_yearly!$D:$AM, 33, FALSE) / VLOOKUP("industry|NOx|Respiratory hospital admissions", US_national_yearly!$D:$AM, 10, FALSE), 1)</f>
        <v>5.8153619955200796E-6</v>
      </c>
      <c r="Z12" s="7">
        <f>$B12 * IFERROR(VLOOKUP("industry|NOx|Respiratory hospital admissions", US_national_yearly!$D:$AM, 34, FALSE) / VLOOKUP("industry|NOx|Respiratory hospital admissions", US_national_yearly!$D:$AM, 10, FALSE), 1)</f>
        <v>5.8374500183846302E-6</v>
      </c>
      <c r="AA12" s="7">
        <f>$B12 * IFERROR(VLOOKUP("industry|NOx|Respiratory hospital admissions", US_national_yearly!$D:$AM, 35, FALSE) / VLOOKUP("industry|NOx|Respiratory hospital admissions", US_national_yearly!$D:$AM, 10, FALSE), 1)</f>
        <v>5.8595380412491808E-6</v>
      </c>
      <c r="AB12" s="7">
        <f>$B12 * IFERROR(VLOOKUP("industry|NOx|Respiratory hospital admissions", US_national_yearly!$D:$AM, 36, FALSE) / VLOOKUP("industry|NOx|Respiratory hospital admissions", US_national_yearly!$D:$AM, 10, FALSE), 1)</f>
        <v>5.8816260641137314E-6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2.4870151531324815E-5</v>
      </c>
      <c r="C13" s="7">
        <f>$B13 * IFERROR(VLOOKUP("industry|NOx|Non-fatal heart attacks", US_national_yearly!$D:$AM, 11, FALSE) / VLOOKUP("industry|NOx|Non-fatal heart attacks", US_national_yearly!$D:$AM, 10, FALSE), 1)</f>
        <v>2.5580715593144855E-5</v>
      </c>
      <c r="D13" s="7">
        <f>$B13 * IFERROR(VLOOKUP("industry|NOx|Non-fatal heart attacks", US_national_yearly!$D:$AM, 12, FALSE) / VLOOKUP("industry|NOx|Non-fatal heart attacks", US_national_yearly!$D:$AM, 10, FALSE), 1)</f>
        <v>2.6291279654964895E-5</v>
      </c>
      <c r="E13" s="7">
        <f>$B13 * IFERROR(VLOOKUP("industry|NOx|Non-fatal heart attacks", US_national_yearly!$D:$AM, 13, FALSE) / VLOOKUP("industry|NOx|Non-fatal heart attacks", US_national_yearly!$D:$AM, 10, FALSE), 1)</f>
        <v>2.7001843716784935E-5</v>
      </c>
      <c r="F13" s="7">
        <f>$B13 * IFERROR(VLOOKUP("industry|NOx|Non-fatal heart attacks", US_national_yearly!$D:$AM, 14, FALSE) / VLOOKUP("industry|NOx|Non-fatal heart attacks", US_national_yearly!$D:$AM, 10, FALSE), 1)</f>
        <v>2.7712407778604979E-5</v>
      </c>
      <c r="G13" s="7">
        <f>$B13 * IFERROR(VLOOKUP("industry|NOx|Non-fatal heart attacks", US_national_yearly!$D:$AM, 15, FALSE) / VLOOKUP("industry|NOx|Non-fatal heart attacks", US_national_yearly!$D:$AM, 10, FALSE), 1)</f>
        <v>2.8376992167430571E-5</v>
      </c>
      <c r="H13" s="7">
        <f>$B13 * IFERROR(VLOOKUP("industry|NOx|Non-fatal heart attacks", US_national_yearly!$D:$AM, 16, FALSE) / VLOOKUP("industry|NOx|Non-fatal heart attacks", US_national_yearly!$D:$AM, 10, FALSE), 1)</f>
        <v>2.904157655625616E-5</v>
      </c>
      <c r="I13" s="7">
        <f>$B13 * IFERROR(VLOOKUP("industry|NOx|Non-fatal heart attacks", US_national_yearly!$D:$AM, 17, FALSE) / VLOOKUP("industry|NOx|Non-fatal heart attacks", US_national_yearly!$D:$AM, 10, FALSE), 1)</f>
        <v>2.9567192947260467E-5</v>
      </c>
      <c r="J13" s="7">
        <f>$B13 * IFERROR(VLOOKUP("industry|NOx|Non-fatal heart attacks", US_national_yearly!$D:$AM, 18, FALSE) / VLOOKUP("industry|NOx|Non-fatal heart attacks", US_national_yearly!$D:$AM, 10, FALSE), 1)</f>
        <v>3.0092809338264778E-5</v>
      </c>
      <c r="K13" s="7">
        <f>$B13 * IFERROR(VLOOKUP("industry|NOx|Non-fatal heart attacks", US_national_yearly!$D:$AM, 19, FALSE) / VLOOKUP("industry|NOx|Non-fatal heart attacks", US_national_yearly!$D:$AM, 10, FALSE), 1)</f>
        <v>3.0618425729269076E-5</v>
      </c>
      <c r="L13" s="7">
        <f>$B13 * IFERROR(VLOOKUP("industry|NOx|Non-fatal heart attacks", US_national_yearly!$D:$AM, 20, FALSE) / VLOOKUP("industry|NOx|Non-fatal heart attacks", US_national_yearly!$D:$AM, 10, FALSE), 1)</f>
        <v>3.1144042120273393E-5</v>
      </c>
      <c r="M13" s="7">
        <f>$B13 * IFERROR(VLOOKUP("industry|NOx|Non-fatal heart attacks", US_national_yearly!$D:$AM, 21, FALSE) / VLOOKUP("industry|NOx|Non-fatal heart attacks", US_national_yearly!$D:$AM, 10, FALSE), 1)</f>
        <v>3.1669658511277704E-5</v>
      </c>
      <c r="N13" s="7">
        <f>$B13 * IFERROR(VLOOKUP("industry|NOx|Non-fatal heart attacks", US_national_yearly!$D:$AM, 22, FALSE) / VLOOKUP("industry|NOx|Non-fatal heart attacks", US_national_yearly!$D:$AM, 10, FALSE), 1)</f>
        <v>3.1986317159679604E-5</v>
      </c>
      <c r="O13" s="7">
        <f>$B13 * IFERROR(VLOOKUP("industry|NOx|Non-fatal heart attacks", US_national_yearly!$D:$AM, 23, FALSE) / VLOOKUP("industry|NOx|Non-fatal heart attacks", US_national_yearly!$D:$AM, 10, FALSE), 1)</f>
        <v>3.2302975808081491E-5</v>
      </c>
      <c r="P13" s="7">
        <f>$B13 * IFERROR(VLOOKUP("industry|NOx|Non-fatal heart attacks", US_national_yearly!$D:$AM, 24, FALSE) / VLOOKUP("industry|NOx|Non-fatal heart attacks", US_national_yearly!$D:$AM, 10, FALSE), 1)</f>
        <v>3.2619634456483384E-5</v>
      </c>
      <c r="Q13" s="7">
        <f>$B13 * IFERROR(VLOOKUP("industry|NOx|Non-fatal heart attacks", US_national_yearly!$D:$AM, 25, FALSE) / VLOOKUP("industry|NOx|Non-fatal heart attacks", US_national_yearly!$D:$AM, 10, FALSE), 1)</f>
        <v>3.293629310488527E-5</v>
      </c>
      <c r="R13" s="7">
        <f>$B13 * IFERROR(VLOOKUP("industry|NOx|Non-fatal heart attacks", US_national_yearly!$D:$AM, 26, FALSE) / VLOOKUP("industry|NOx|Non-fatal heart attacks", US_national_yearly!$D:$AM, 10, FALSE), 1)</f>
        <v>3.3252951753287163E-5</v>
      </c>
      <c r="S13" s="7">
        <f>$B13 * IFERROR(VLOOKUP("industry|NOx|Non-fatal heart attacks", US_national_yearly!$D:$AM, 27, FALSE) / VLOOKUP("industry|NOx|Non-fatal heart attacks", US_national_yearly!$D:$AM, 10, FALSE), 1)</f>
        <v>3.3398241057379374E-5</v>
      </c>
      <c r="T13" s="7">
        <f>$B13 * IFERROR(VLOOKUP("industry|NOx|Non-fatal heart attacks", US_national_yearly!$D:$AM, 28, FALSE) / VLOOKUP("industry|NOx|Non-fatal heart attacks", US_national_yearly!$D:$AM, 10, FALSE), 1)</f>
        <v>3.3543530361471578E-5</v>
      </c>
      <c r="U13" s="7">
        <f>$B13 * IFERROR(VLOOKUP("industry|NOx|Non-fatal heart attacks", US_national_yearly!$D:$AM, 29, FALSE) / VLOOKUP("industry|NOx|Non-fatal heart attacks", US_national_yearly!$D:$AM, 10, FALSE), 1)</f>
        <v>3.3688819665563789E-5</v>
      </c>
      <c r="V13" s="7">
        <f>$B13 * IFERROR(VLOOKUP("industry|NOx|Non-fatal heart attacks", US_national_yearly!$D:$AM, 30, FALSE) / VLOOKUP("industry|NOx|Non-fatal heart attacks", US_national_yearly!$D:$AM, 10, FALSE), 1)</f>
        <v>3.3834108969656E-5</v>
      </c>
      <c r="W13" s="7">
        <f>$B13 * IFERROR(VLOOKUP("industry|NOx|Non-fatal heart attacks", US_national_yearly!$D:$AM, 31, FALSE) / VLOOKUP("industry|NOx|Non-fatal heart attacks", US_national_yearly!$D:$AM, 10, FALSE), 1)</f>
        <v>3.3979398273748204E-5</v>
      </c>
      <c r="X13" s="7">
        <f>$B13 * IFERROR(VLOOKUP("industry|NOx|Non-fatal heart attacks", US_national_yearly!$D:$AM, 32, FALSE) / VLOOKUP("industry|NOx|Non-fatal heart attacks", US_national_yearly!$D:$AM, 10, FALSE), 1)</f>
        <v>3.4077452636897438E-5</v>
      </c>
      <c r="Y13" s="7">
        <f>$B13 * IFERROR(VLOOKUP("industry|NOx|Non-fatal heart attacks", US_national_yearly!$D:$AM, 33, FALSE) / VLOOKUP("industry|NOx|Non-fatal heart attacks", US_national_yearly!$D:$AM, 10, FALSE), 1)</f>
        <v>3.4175507000046666E-5</v>
      </c>
      <c r="Z13" s="7">
        <f>$B13 * IFERROR(VLOOKUP("industry|NOx|Non-fatal heart attacks", US_national_yearly!$D:$AM, 34, FALSE) / VLOOKUP("industry|NOx|Non-fatal heart attacks", US_national_yearly!$D:$AM, 10, FALSE), 1)</f>
        <v>3.42735613631959E-5</v>
      </c>
      <c r="AA13" s="7">
        <f>$B13 * IFERROR(VLOOKUP("industry|NOx|Non-fatal heart attacks", US_national_yearly!$D:$AM, 35, FALSE) / VLOOKUP("industry|NOx|Non-fatal heart attacks", US_national_yearly!$D:$AM, 10, FALSE), 1)</f>
        <v>3.4371615726345134E-5</v>
      </c>
      <c r="AB13" s="7">
        <f>$B13 * IFERROR(VLOOKUP("industry|NOx|Non-fatal heart attacks", US_national_yearly!$D:$AM, 36, FALSE) / VLOOKUP("industry|NOx|Non-fatal heart attacks", US_national_yearly!$D:$AM, 10, FALSE), 1)</f>
        <v>3.4469670089494361E-5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1.6494509836789493E-2</v>
      </c>
      <c r="C14" s="7">
        <f>$B14 * IFERROR(VLOOKUP("industry|NOx|Minor restricted activity days", US_national_yearly!$D:$AM, 11, FALSE) / VLOOKUP("industry|NOx|Minor restricted activity days", US_national_yearly!$D:$AM, 10, FALSE), 1)</f>
        <v>1.6518947725903569E-2</v>
      </c>
      <c r="D14" s="7">
        <f>$B14 * IFERROR(VLOOKUP("industry|NOx|Minor restricted activity days", US_national_yearly!$D:$AM, 12, FALSE) / VLOOKUP("industry|NOx|Minor restricted activity days", US_national_yearly!$D:$AM, 10, FALSE), 1)</f>
        <v>1.6543385615017642E-2</v>
      </c>
      <c r="E14" s="7">
        <f>$B14 * IFERROR(VLOOKUP("industry|NOx|Minor restricted activity days", US_national_yearly!$D:$AM, 13, FALSE) / VLOOKUP("industry|NOx|Minor restricted activity days", US_national_yearly!$D:$AM, 10, FALSE), 1)</f>
        <v>1.6567823504131718E-2</v>
      </c>
      <c r="F14" s="7">
        <f>$B14 * IFERROR(VLOOKUP("industry|NOx|Minor restricted activity days", US_national_yearly!$D:$AM, 14, FALSE) / VLOOKUP("industry|NOx|Minor restricted activity days", US_national_yearly!$D:$AM, 10, FALSE), 1)</f>
        <v>1.6592261393245791E-2</v>
      </c>
      <c r="G14" s="7">
        <f>$B14 * IFERROR(VLOOKUP("industry|NOx|Minor restricted activity days", US_national_yearly!$D:$AM, 15, FALSE) / VLOOKUP("industry|NOx|Minor restricted activity days", US_national_yearly!$D:$AM, 10, FALSE), 1)</f>
        <v>1.6636748284989327E-2</v>
      </c>
      <c r="H14" s="7">
        <f>$B14 * IFERROR(VLOOKUP("industry|NOx|Minor restricted activity days", US_national_yearly!$D:$AM, 16, FALSE) / VLOOKUP("industry|NOx|Minor restricted activity days", US_national_yearly!$D:$AM, 10, FALSE), 1)</f>
        <v>1.6681235176732867E-2</v>
      </c>
      <c r="I14" s="7">
        <f>$B14 * IFERROR(VLOOKUP("industry|NOx|Minor restricted activity days", US_national_yearly!$D:$AM, 17, FALSE) / VLOOKUP("industry|NOx|Minor restricted activity days", US_national_yearly!$D:$AM, 10, FALSE), 1)</f>
        <v>1.6768813955729558E-2</v>
      </c>
      <c r="J14" s="7">
        <f>$B14 * IFERROR(VLOOKUP("industry|NOx|Minor restricted activity days", US_national_yearly!$D:$AM, 18, FALSE) / VLOOKUP("industry|NOx|Minor restricted activity days", US_national_yearly!$D:$AM, 10, FALSE), 1)</f>
        <v>1.6856392734726243E-2</v>
      </c>
      <c r="K14" s="7">
        <f>$B14 * IFERROR(VLOOKUP("industry|NOx|Minor restricted activity days", US_national_yearly!$D:$AM, 19, FALSE) / VLOOKUP("industry|NOx|Minor restricted activity days", US_national_yearly!$D:$AM, 10, FALSE), 1)</f>
        <v>1.6943971513722927E-2</v>
      </c>
      <c r="L14" s="7">
        <f>$B14 * IFERROR(VLOOKUP("industry|NOx|Minor restricted activity days", US_national_yearly!$D:$AM, 20, FALSE) / VLOOKUP("industry|NOx|Minor restricted activity days", US_national_yearly!$D:$AM, 10, FALSE), 1)</f>
        <v>1.7031550292719619E-2</v>
      </c>
      <c r="M14" s="7">
        <f>$B14 * IFERROR(VLOOKUP("industry|NOx|Minor restricted activity days", US_national_yearly!$D:$AM, 21, FALSE) / VLOOKUP("industry|NOx|Minor restricted activity days", US_national_yearly!$D:$AM, 10, FALSE), 1)</f>
        <v>1.7119129071716303E-2</v>
      </c>
      <c r="N14" s="7">
        <f>$B14 * IFERROR(VLOOKUP("industry|NOx|Minor restricted activity days", US_national_yearly!$D:$AM, 22, FALSE) / VLOOKUP("industry|NOx|Minor restricted activity days", US_national_yearly!$D:$AM, 10, FALSE), 1)</f>
        <v>1.7245248368293838E-2</v>
      </c>
      <c r="O14" s="7">
        <f>$B14 * IFERROR(VLOOKUP("industry|NOx|Minor restricted activity days", US_national_yearly!$D:$AM, 23, FALSE) / VLOOKUP("industry|NOx|Minor restricted activity days", US_national_yearly!$D:$AM, 10, FALSE), 1)</f>
        <v>1.7371367664871375E-2</v>
      </c>
      <c r="P14" s="7">
        <f>$B14 * IFERROR(VLOOKUP("industry|NOx|Minor restricted activity days", US_national_yearly!$D:$AM, 24, FALSE) / VLOOKUP("industry|NOx|Minor restricted activity days", US_national_yearly!$D:$AM, 10, FALSE), 1)</f>
        <v>1.749748696144891E-2</v>
      </c>
      <c r="Q14" s="7">
        <f>$B14 * IFERROR(VLOOKUP("industry|NOx|Minor restricted activity days", US_national_yearly!$D:$AM, 25, FALSE) / VLOOKUP("industry|NOx|Minor restricted activity days", US_national_yearly!$D:$AM, 10, FALSE), 1)</f>
        <v>1.7623606258026444E-2</v>
      </c>
      <c r="R14" s="7">
        <f>$B14 * IFERROR(VLOOKUP("industry|NOx|Minor restricted activity days", US_national_yearly!$D:$AM, 26, FALSE) / VLOOKUP("industry|NOx|Minor restricted activity days", US_national_yearly!$D:$AM, 10, FALSE), 1)</f>
        <v>1.7749725554603982E-2</v>
      </c>
      <c r="S14" s="7">
        <f>$B14 * IFERROR(VLOOKUP("industry|NOx|Minor restricted activity days", US_national_yearly!$D:$AM, 27, FALSE) / VLOOKUP("industry|NOx|Minor restricted activity days", US_national_yearly!$D:$AM, 10, FALSE), 1)</f>
        <v>1.7875979878766345E-2</v>
      </c>
      <c r="T14" s="7">
        <f>$B14 * IFERROR(VLOOKUP("industry|NOx|Minor restricted activity days", US_national_yearly!$D:$AM, 28, FALSE) / VLOOKUP("industry|NOx|Minor restricted activity days", US_national_yearly!$D:$AM, 10, FALSE), 1)</f>
        <v>1.8002234202928711E-2</v>
      </c>
      <c r="U14" s="7">
        <f>$B14 * IFERROR(VLOOKUP("industry|NOx|Minor restricted activity days", US_national_yearly!$D:$AM, 29, FALSE) / VLOOKUP("industry|NOx|Minor restricted activity days", US_national_yearly!$D:$AM, 10, FALSE), 1)</f>
        <v>1.8128488527091077E-2</v>
      </c>
      <c r="V14" s="7">
        <f>$B14 * IFERROR(VLOOKUP("industry|NOx|Minor restricted activity days", US_national_yearly!$D:$AM, 30, FALSE) / VLOOKUP("industry|NOx|Minor restricted activity days", US_national_yearly!$D:$AM, 10, FALSE), 1)</f>
        <v>1.825474285125344E-2</v>
      </c>
      <c r="W14" s="7">
        <f>$B14 * IFERROR(VLOOKUP("industry|NOx|Minor restricted activity days", US_national_yearly!$D:$AM, 31, FALSE) / VLOOKUP("industry|NOx|Minor restricted activity days", US_national_yearly!$D:$AM, 10, FALSE), 1)</f>
        <v>1.8380997175415806E-2</v>
      </c>
      <c r="X14" s="7">
        <f>$B14 * IFERROR(VLOOKUP("industry|NOx|Minor restricted activity days", US_national_yearly!$D:$AM, 32, FALSE) / VLOOKUP("industry|NOx|Minor restricted activity days", US_national_yearly!$D:$AM, 10, FALSE), 1)</f>
        <v>1.8487591858686876E-2</v>
      </c>
      <c r="Y14" s="7">
        <f>$B14 * IFERROR(VLOOKUP("industry|NOx|Minor restricted activity days", US_national_yearly!$D:$AM, 33, FALSE) / VLOOKUP("industry|NOx|Minor restricted activity days", US_national_yearly!$D:$AM, 10, FALSE), 1)</f>
        <v>1.8594186541957939E-2</v>
      </c>
      <c r="Z14" s="7">
        <f>$B14 * IFERROR(VLOOKUP("industry|NOx|Minor restricted activity days", US_national_yearly!$D:$AM, 34, FALSE) / VLOOKUP("industry|NOx|Minor restricted activity days", US_national_yearly!$D:$AM, 10, FALSE), 1)</f>
        <v>1.8700781225229002E-2</v>
      </c>
      <c r="AA14" s="7">
        <f>$B14 * IFERROR(VLOOKUP("industry|NOx|Minor restricted activity days", US_national_yearly!$D:$AM, 35, FALSE) / VLOOKUP("industry|NOx|Minor restricted activity days", US_national_yearly!$D:$AM, 10, FALSE), 1)</f>
        <v>1.8807375908500071E-2</v>
      </c>
      <c r="AB14" s="7">
        <f>$B14 * IFERROR(VLOOKUP("industry|NOx|Minor restricted activity days", US_national_yearly!$D:$AM, 36, FALSE) / VLOOKUP("industry|NOx|Minor restricted activity days", US_national_yearly!$D:$AM, 10, FALSE), 1)</f>
        <v>1.8913970591771138E-2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2.7611442001298156E-3</v>
      </c>
      <c r="C15" s="7">
        <f>$B15 * IFERROR(VLOOKUP("industry|NOx|Work loss days", US_national_yearly!$D:$AM, 11, FALSE) / VLOOKUP("industry|NOx|Work loss days", US_national_yearly!$D:$AM, 10, FALSE), 1)</f>
        <v>2.767126707431693E-3</v>
      </c>
      <c r="D15" s="7">
        <f>$B15 * IFERROR(VLOOKUP("industry|NOx|Work loss days", US_national_yearly!$D:$AM, 12, FALSE) / VLOOKUP("industry|NOx|Work loss days", US_national_yearly!$D:$AM, 10, FALSE), 1)</f>
        <v>2.7731092147335692E-3</v>
      </c>
      <c r="E15" s="7">
        <f>$B15 * IFERROR(VLOOKUP("industry|NOx|Work loss days", US_national_yearly!$D:$AM, 13, FALSE) / VLOOKUP("industry|NOx|Work loss days", US_national_yearly!$D:$AM, 10, FALSE), 1)</f>
        <v>2.7790917220354471E-3</v>
      </c>
      <c r="F15" s="7">
        <f>$B15 * IFERROR(VLOOKUP("industry|NOx|Work loss days", US_national_yearly!$D:$AM, 14, FALSE) / VLOOKUP("industry|NOx|Work loss days", US_national_yearly!$D:$AM, 10, FALSE), 1)</f>
        <v>2.7850742293373237E-3</v>
      </c>
      <c r="G15" s="7">
        <f>$B15 * IFERROR(VLOOKUP("industry|NOx|Work loss days", US_national_yearly!$D:$AM, 15, FALSE) / VLOOKUP("industry|NOx|Work loss days", US_national_yearly!$D:$AM, 10, FALSE), 1)</f>
        <v>2.7938251370634958E-3</v>
      </c>
      <c r="H15" s="7">
        <f>$B15 * IFERROR(VLOOKUP("industry|NOx|Work loss days", US_national_yearly!$D:$AM, 16, FALSE) / VLOOKUP("industry|NOx|Work loss days", US_national_yearly!$D:$AM, 10, FALSE), 1)</f>
        <v>2.8025760447896674E-3</v>
      </c>
      <c r="I15" s="7">
        <f>$B15 * IFERROR(VLOOKUP("industry|NOx|Work loss days", US_national_yearly!$D:$AM, 17, FALSE) / VLOOKUP("industry|NOx|Work loss days", US_national_yearly!$D:$AM, 10, FALSE), 1)</f>
        <v>2.8167940510117583E-3</v>
      </c>
      <c r="J15" s="7">
        <f>$B15 * IFERROR(VLOOKUP("industry|NOx|Work loss days", US_national_yearly!$D:$AM, 18, FALSE) / VLOOKUP("industry|NOx|Work loss days", US_national_yearly!$D:$AM, 10, FALSE), 1)</f>
        <v>2.8310120572338482E-3</v>
      </c>
      <c r="K15" s="7">
        <f>$B15 * IFERROR(VLOOKUP("industry|NOx|Work loss days", US_national_yearly!$D:$AM, 19, FALSE) / VLOOKUP("industry|NOx|Work loss days", US_national_yearly!$D:$AM, 10, FALSE), 1)</f>
        <v>2.8452300634559391E-3</v>
      </c>
      <c r="L15" s="7">
        <f>$B15 * IFERROR(VLOOKUP("industry|NOx|Work loss days", US_national_yearly!$D:$AM, 20, FALSE) / VLOOKUP("industry|NOx|Work loss days", US_national_yearly!$D:$AM, 10, FALSE), 1)</f>
        <v>2.8594480696780295E-3</v>
      </c>
      <c r="M15" s="7">
        <f>$B15 * IFERROR(VLOOKUP("industry|NOx|Work loss days", US_national_yearly!$D:$AM, 21, FALSE) / VLOOKUP("industry|NOx|Work loss days", US_national_yearly!$D:$AM, 10, FALSE), 1)</f>
        <v>2.8736660759001204E-3</v>
      </c>
      <c r="N15" s="7">
        <f>$B15 * IFERROR(VLOOKUP("industry|NOx|Work loss days", US_national_yearly!$D:$AM, 22, FALSE) / VLOOKUP("industry|NOx|Work loss days", US_national_yearly!$D:$AM, 10, FALSE), 1)</f>
        <v>2.8922600037252716E-3</v>
      </c>
      <c r="O15" s="7">
        <f>$B15 * IFERROR(VLOOKUP("industry|NOx|Work loss days", US_national_yearly!$D:$AM, 23, FALSE) / VLOOKUP("industry|NOx|Work loss days", US_national_yearly!$D:$AM, 10, FALSE), 1)</f>
        <v>2.9108539315504237E-3</v>
      </c>
      <c r="P15" s="7">
        <f>$B15 * IFERROR(VLOOKUP("industry|NOx|Work loss days", US_national_yearly!$D:$AM, 24, FALSE) / VLOOKUP("industry|NOx|Work loss days", US_national_yearly!$D:$AM, 10, FALSE), 1)</f>
        <v>2.929447859375575E-3</v>
      </c>
      <c r="Q15" s="7">
        <f>$B15 * IFERROR(VLOOKUP("industry|NOx|Work loss days", US_national_yearly!$D:$AM, 25, FALSE) / VLOOKUP("industry|NOx|Work loss days", US_national_yearly!$D:$AM, 10, FALSE), 1)</f>
        <v>2.9480417872007262E-3</v>
      </c>
      <c r="R15" s="7">
        <f>$B15 * IFERROR(VLOOKUP("industry|NOx|Work loss days", US_national_yearly!$D:$AM, 26, FALSE) / VLOOKUP("industry|NOx|Work loss days", US_national_yearly!$D:$AM, 10, FALSE), 1)</f>
        <v>2.9666357150258784E-3</v>
      </c>
      <c r="S15" s="7">
        <f>$B15 * IFERROR(VLOOKUP("industry|NOx|Work loss days", US_national_yearly!$D:$AM, 27, FALSE) / VLOOKUP("industry|NOx|Work loss days", US_national_yearly!$D:$AM, 10, FALSE), 1)</f>
        <v>2.9874226000647149E-3</v>
      </c>
      <c r="T15" s="7">
        <f>$B15 * IFERROR(VLOOKUP("industry|NOx|Work loss days", US_national_yearly!$D:$AM, 28, FALSE) / VLOOKUP("industry|NOx|Work loss days", US_national_yearly!$D:$AM, 10, FALSE), 1)</f>
        <v>3.0082094851035523E-3</v>
      </c>
      <c r="U15" s="7">
        <f>$B15 * IFERROR(VLOOKUP("industry|NOx|Work loss days", US_national_yearly!$D:$AM, 29, FALSE) / VLOOKUP("industry|NOx|Work loss days", US_national_yearly!$D:$AM, 10, FALSE), 1)</f>
        <v>3.0289963701423898E-3</v>
      </c>
      <c r="V15" s="7">
        <f>$B15 * IFERROR(VLOOKUP("industry|NOx|Work loss days", US_national_yearly!$D:$AM, 30, FALSE) / VLOOKUP("industry|NOx|Work loss days", US_national_yearly!$D:$AM, 10, FALSE), 1)</f>
        <v>3.0497832551812268E-3</v>
      </c>
      <c r="W15" s="7">
        <f>$B15 * IFERROR(VLOOKUP("industry|NOx|Work loss days", US_national_yearly!$D:$AM, 31, FALSE) / VLOOKUP("industry|NOx|Work loss days", US_national_yearly!$D:$AM, 10, FALSE), 1)</f>
        <v>3.0705701402200642E-3</v>
      </c>
      <c r="X15" s="7">
        <f>$B15 * IFERROR(VLOOKUP("industry|NOx|Work loss days", US_national_yearly!$D:$AM, 32, FALSE) / VLOOKUP("industry|NOx|Work loss days", US_national_yearly!$D:$AM, 10, FALSE), 1)</f>
        <v>3.0886034879337972E-3</v>
      </c>
      <c r="Y15" s="7">
        <f>$B15 * IFERROR(VLOOKUP("industry|NOx|Work loss days", US_national_yearly!$D:$AM, 33, FALSE) / VLOOKUP("industry|NOx|Work loss days", US_national_yearly!$D:$AM, 10, FALSE), 1)</f>
        <v>3.1066368356475302E-3</v>
      </c>
      <c r="Z15" s="7">
        <f>$B15 * IFERROR(VLOOKUP("industry|NOx|Work loss days", US_national_yearly!$D:$AM, 34, FALSE) / VLOOKUP("industry|NOx|Work loss days", US_national_yearly!$D:$AM, 10, FALSE), 1)</f>
        <v>3.1246701833612636E-3</v>
      </c>
      <c r="AA15" s="7">
        <f>$B15 * IFERROR(VLOOKUP("industry|NOx|Work loss days", US_national_yearly!$D:$AM, 35, FALSE) / VLOOKUP("industry|NOx|Work loss days", US_national_yearly!$D:$AM, 10, FALSE), 1)</f>
        <v>3.1427035310749966E-3</v>
      </c>
      <c r="AB15" s="7">
        <f>$B15 * IFERROR(VLOOKUP("industry|NOx|Work loss days", US_national_yearly!$D:$AM, 36, FALSE) / VLOOKUP("industry|NOx|Work loss days", US_national_yearly!$D:$AM, 10, FALSE), 1)</f>
        <v>3.1607368787887296E-3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6.0893462755429521E-6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6.2681457477718395E-6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6.4469452200007269E-6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6.6257446922296152E-6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6.8045441644585035E-6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6.9744795007350142E-6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7.1444148370115248E-6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7.2876826215209567E-6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7.4309504060303877E-6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7.5742181905398179E-6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7.7174859750492489E-6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7.8607537595586799E-6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7.9504452882323514E-6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8.0401368169060195E-6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8.1298283455796893E-6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8.2195198742533608E-6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8.3092114029270289E-6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8.3505878691193911E-6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8.3919643353117515E-6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8.4333408015041137E-6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8.4747172676964741E-6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8.5160937338888363E-6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8.5394711481180807E-6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8.5628485623473252E-6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8.586225976576568E-6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8.6096033908058107E-6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8.6329808050350569E-6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1.1578206630996986E-2</v>
      </c>
      <c r="C2" s="7">
        <f>$B2 * IFERROR(VLOOKUP("industry|SO2|Premature mortality", US_national_yearly!$D:$AM, 11, FALSE) / VLOOKUP("industry|SO2|Premature mortality", US_national_yearly!$D:$AM, 10, FALSE), 1)</f>
        <v>1.1724982429852518E-2</v>
      </c>
      <c r="D2" s="7">
        <f>$B2 * IFERROR(VLOOKUP("industry|SO2|Premature mortality", US_national_yearly!$D:$AM, 12, FALSE) / VLOOKUP("industry|SO2|Premature mortality", US_national_yearly!$D:$AM, 10, FALSE), 1)</f>
        <v>1.1871758228708049E-2</v>
      </c>
      <c r="E2" s="7">
        <f>$B2 * IFERROR(VLOOKUP("industry|SO2|Premature mortality", US_national_yearly!$D:$AM, 13, FALSE) / VLOOKUP("industry|SO2|Premature mortality", US_national_yearly!$D:$AM, 10, FALSE), 1)</f>
        <v>1.2018534027563577E-2</v>
      </c>
      <c r="F2" s="7">
        <f>$B2 * IFERROR(VLOOKUP("industry|SO2|Premature mortality", US_national_yearly!$D:$AM, 14, FALSE) / VLOOKUP("industry|SO2|Premature mortality", US_national_yearly!$D:$AM, 10, FALSE), 1)</f>
        <v>1.2165309826419109E-2</v>
      </c>
      <c r="G2" s="7">
        <f>$B2 * IFERROR(VLOOKUP("industry|SO2|Premature mortality", US_national_yearly!$D:$AM, 15, FALSE) / VLOOKUP("industry|SO2|Premature mortality", US_national_yearly!$D:$AM, 10, FALSE), 1)</f>
        <v>1.2448214838358007E-2</v>
      </c>
      <c r="H2" s="7">
        <f>$B2 * IFERROR(VLOOKUP("industry|SO2|Premature mortality", US_national_yearly!$D:$AM, 16, FALSE) / VLOOKUP("industry|SO2|Premature mortality", US_national_yearly!$D:$AM, 10, FALSE), 1)</f>
        <v>1.2731119850296903E-2</v>
      </c>
      <c r="I2" s="7">
        <f>$B2 * IFERROR(VLOOKUP("industry|SO2|Premature mortality", US_national_yearly!$D:$AM, 17, FALSE) / VLOOKUP("industry|SO2|Premature mortality", US_national_yearly!$D:$AM, 10, FALSE), 1)</f>
        <v>1.2918451268869011E-2</v>
      </c>
      <c r="J2" s="7">
        <f>$B2 * IFERROR(VLOOKUP("industry|SO2|Premature mortality", US_national_yearly!$D:$AM, 18, FALSE) / VLOOKUP("industry|SO2|Premature mortality", US_national_yearly!$D:$AM, 10, FALSE), 1)</f>
        <v>1.3105782687441118E-2</v>
      </c>
      <c r="K2" s="7">
        <f>$B2 * IFERROR(VLOOKUP("industry|SO2|Premature mortality", US_national_yearly!$D:$AM, 19, FALSE) / VLOOKUP("industry|SO2|Premature mortality", US_national_yearly!$D:$AM, 10, FALSE), 1)</f>
        <v>1.3293114106013224E-2</v>
      </c>
      <c r="L2" s="7">
        <f>$B2 * IFERROR(VLOOKUP("industry|SO2|Premature mortality", US_national_yearly!$D:$AM, 20, FALSE) / VLOOKUP("industry|SO2|Premature mortality", US_national_yearly!$D:$AM, 10, FALSE), 1)</f>
        <v>1.3480445524585332E-2</v>
      </c>
      <c r="M2" s="7">
        <f>$B2 * IFERROR(VLOOKUP("industry|SO2|Premature mortality", US_national_yearly!$D:$AM, 21, FALSE) / VLOOKUP("industry|SO2|Premature mortality", US_national_yearly!$D:$AM, 10, FALSE), 1)</f>
        <v>1.3667776943157439E-2</v>
      </c>
      <c r="N2" s="7">
        <f>$B2 * IFERROR(VLOOKUP("industry|SO2|Premature mortality", US_national_yearly!$D:$AM, 22, FALSE) / VLOOKUP("industry|SO2|Premature mortality", US_national_yearly!$D:$AM, 10, FALSE), 1)</f>
        <v>1.3814314652653936E-2</v>
      </c>
      <c r="O2" s="7">
        <f>$B2 * IFERROR(VLOOKUP("industry|SO2|Premature mortality", US_national_yearly!$D:$AM, 23, FALSE) / VLOOKUP("industry|SO2|Premature mortality", US_national_yearly!$D:$AM, 10, FALSE), 1)</f>
        <v>1.3960852362150432E-2</v>
      </c>
      <c r="P2" s="7">
        <f>$B2 * IFERROR(VLOOKUP("industry|SO2|Premature mortality", US_national_yearly!$D:$AM, 24, FALSE) / VLOOKUP("industry|SO2|Premature mortality", US_national_yearly!$D:$AM, 10, FALSE), 1)</f>
        <v>1.4107390071646929E-2</v>
      </c>
      <c r="Q2" s="7">
        <f>$B2 * IFERROR(VLOOKUP("industry|SO2|Premature mortality", US_national_yearly!$D:$AM, 25, FALSE) / VLOOKUP("industry|SO2|Premature mortality", US_national_yearly!$D:$AM, 10, FALSE), 1)</f>
        <v>1.4253927781143426E-2</v>
      </c>
      <c r="R2" s="7">
        <f>$B2 * IFERROR(VLOOKUP("industry|SO2|Premature mortality", US_national_yearly!$D:$AM, 26, FALSE) / VLOOKUP("industry|SO2|Premature mortality", US_national_yearly!$D:$AM, 10, FALSE), 1)</f>
        <v>1.4400465490639922E-2</v>
      </c>
      <c r="S2" s="7">
        <f>$B2 * IFERROR(VLOOKUP("industry|SO2|Premature mortality", US_national_yearly!$D:$AM, 27, FALSE) / VLOOKUP("industry|SO2|Premature mortality", US_national_yearly!$D:$AM, 10, FALSE), 1)</f>
        <v>1.4479587780905424E-2</v>
      </c>
      <c r="T2" s="7">
        <f>$B2 * IFERROR(VLOOKUP("industry|SO2|Premature mortality", US_national_yearly!$D:$AM, 28, FALSE) / VLOOKUP("industry|SO2|Premature mortality", US_national_yearly!$D:$AM, 10, FALSE), 1)</f>
        <v>1.4558710071170928E-2</v>
      </c>
      <c r="U2" s="7">
        <f>$B2 * IFERROR(VLOOKUP("industry|SO2|Premature mortality", US_national_yearly!$D:$AM, 29, FALSE) / VLOOKUP("industry|SO2|Premature mortality", US_national_yearly!$D:$AM, 10, FALSE), 1)</f>
        <v>1.4637832361436435E-2</v>
      </c>
      <c r="V2" s="7">
        <f>$B2 * IFERROR(VLOOKUP("industry|SO2|Premature mortality", US_national_yearly!$D:$AM, 30, FALSE) / VLOOKUP("industry|SO2|Premature mortality", US_national_yearly!$D:$AM, 10, FALSE), 1)</f>
        <v>1.4716954651701938E-2</v>
      </c>
      <c r="W2" s="7">
        <f>$B2 * IFERROR(VLOOKUP("industry|SO2|Premature mortality", US_national_yearly!$D:$AM, 31, FALSE) / VLOOKUP("industry|SO2|Premature mortality", US_national_yearly!$D:$AM, 10, FALSE), 1)</f>
        <v>1.4796076941967443E-2</v>
      </c>
      <c r="X2" s="7">
        <f>$B2 * IFERROR(VLOOKUP("industry|SO2|Premature mortality", US_national_yearly!$D:$AM, 32, FALSE) / VLOOKUP("industry|SO2|Premature mortality", US_national_yearly!$D:$AM, 10, FALSE), 1)</f>
        <v>1.481310647316279E-2</v>
      </c>
      <c r="Y2" s="7">
        <f>$B2 * IFERROR(VLOOKUP("industry|SO2|Premature mortality", US_national_yearly!$D:$AM, 33, FALSE) / VLOOKUP("industry|SO2|Premature mortality", US_national_yearly!$D:$AM, 10, FALSE), 1)</f>
        <v>1.4830136004358136E-2</v>
      </c>
      <c r="Z2" s="7">
        <f>$B2 * IFERROR(VLOOKUP("industry|SO2|Premature mortality", US_national_yearly!$D:$AM, 34, FALSE) / VLOOKUP("industry|SO2|Premature mortality", US_national_yearly!$D:$AM, 10, FALSE), 1)</f>
        <v>1.4847165535553486E-2</v>
      </c>
      <c r="AA2" s="7">
        <f>$B2 * IFERROR(VLOOKUP("industry|SO2|Premature mortality", US_national_yearly!$D:$AM, 35, FALSE) / VLOOKUP("industry|SO2|Premature mortality", US_national_yearly!$D:$AM, 10, FALSE), 1)</f>
        <v>1.4864195066748832E-2</v>
      </c>
      <c r="AB2" s="7">
        <f>$B2 * IFERROR(VLOOKUP("industry|SO2|Premature mortality", US_national_yearly!$D:$AM, 36, FALSE) / VLOOKUP("industry|SO2|Premature mortality", US_national_yearly!$D:$AM, 10, FALSE), 1)</f>
        <v>1.4881224597944179E-2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1.5914210883643085E-5</v>
      </c>
      <c r="C3" s="7">
        <f>$B3 * IFERROR(VLOOKUP("industry|SO2|Infant mortality", US_national_yearly!$D:$AM, 11, FALSE) / VLOOKUP("industry|SO2|Infant mortality", US_national_yearly!$D:$AM, 10, FALSE), 1)</f>
        <v>1.5777299700158728E-5</v>
      </c>
      <c r="D3" s="7">
        <f>$B3 * IFERROR(VLOOKUP("industry|SO2|Infant mortality", US_national_yearly!$D:$AM, 12, FALSE) / VLOOKUP("industry|SO2|Infant mortality", US_national_yearly!$D:$AM, 10, FALSE), 1)</f>
        <v>1.5640388516674371E-5</v>
      </c>
      <c r="E3" s="7">
        <f>$B3 * IFERROR(VLOOKUP("industry|SO2|Infant mortality", US_national_yearly!$D:$AM, 13, FALSE) / VLOOKUP("industry|SO2|Infant mortality", US_national_yearly!$D:$AM, 10, FALSE), 1)</f>
        <v>1.5503477333190014E-5</v>
      </c>
      <c r="F3" s="7">
        <f>$B3 * IFERROR(VLOOKUP("industry|SO2|Infant mortality", US_national_yearly!$D:$AM, 14, FALSE) / VLOOKUP("industry|SO2|Infant mortality", US_national_yearly!$D:$AM, 10, FALSE), 1)</f>
        <v>1.5366566149705657E-5</v>
      </c>
      <c r="G3" s="7">
        <f>$B3 * IFERROR(VLOOKUP("industry|SO2|Infant mortality", US_national_yearly!$D:$AM, 15, FALSE) / VLOOKUP("industry|SO2|Infant mortality", US_national_yearly!$D:$AM, 10, FALSE), 1)</f>
        <v>1.0229497673665695E-5</v>
      </c>
      <c r="H3" s="7">
        <f>$B3 * IFERROR(VLOOKUP("industry|SO2|Infant mortality", US_national_yearly!$D:$AM, 16, FALSE) / VLOOKUP("industry|SO2|Infant mortality", US_national_yearly!$D:$AM, 10, FALSE), 1)</f>
        <v>5.0924291976257325E-6</v>
      </c>
      <c r="I3" s="7">
        <f>$B3 * IFERROR(VLOOKUP("industry|SO2|Infant mortality", US_national_yearly!$D:$AM, 17, FALSE) / VLOOKUP("industry|SO2|Infant mortality", US_national_yearly!$D:$AM, 10, FALSE), 1)</f>
        <v>5.060092706557825E-6</v>
      </c>
      <c r="J3" s="7">
        <f>$B3 * IFERROR(VLOOKUP("industry|SO2|Infant mortality", US_national_yearly!$D:$AM, 18, FALSE) / VLOOKUP("industry|SO2|Infant mortality", US_national_yearly!$D:$AM, 10, FALSE), 1)</f>
        <v>5.0277562154899167E-6</v>
      </c>
      <c r="K3" s="7">
        <f>$B3 * IFERROR(VLOOKUP("industry|SO2|Infant mortality", US_national_yearly!$D:$AM, 19, FALSE) / VLOOKUP("industry|SO2|Infant mortality", US_national_yearly!$D:$AM, 10, FALSE), 1)</f>
        <v>4.9954197244220084E-6</v>
      </c>
      <c r="L3" s="7">
        <f>$B3 * IFERROR(VLOOKUP("industry|SO2|Infant mortality", US_national_yearly!$D:$AM, 20, FALSE) / VLOOKUP("industry|SO2|Infant mortality", US_national_yearly!$D:$AM, 10, FALSE), 1)</f>
        <v>4.9630832333541009E-6</v>
      </c>
      <c r="M3" s="7">
        <f>$B3 * IFERROR(VLOOKUP("industry|SO2|Infant mortality", US_national_yearly!$D:$AM, 21, FALSE) / VLOOKUP("industry|SO2|Infant mortality", US_national_yearly!$D:$AM, 10, FALSE), 1)</f>
        <v>4.9307467422861925E-6</v>
      </c>
      <c r="N3" s="7">
        <f>$B3 * IFERROR(VLOOKUP("industry|SO2|Infant mortality", US_national_yearly!$D:$AM, 22, FALSE) / VLOOKUP("industry|SO2|Infant mortality", US_national_yearly!$D:$AM, 10, FALSE), 1)</f>
        <v>4.9102517223322099E-6</v>
      </c>
      <c r="O3" s="7">
        <f>$B3 * IFERROR(VLOOKUP("industry|SO2|Infant mortality", US_national_yearly!$D:$AM, 23, FALSE) / VLOOKUP("industry|SO2|Infant mortality", US_national_yearly!$D:$AM, 10, FALSE), 1)</f>
        <v>4.8897567023782265E-6</v>
      </c>
      <c r="P3" s="7">
        <f>$B3 * IFERROR(VLOOKUP("industry|SO2|Infant mortality", US_national_yearly!$D:$AM, 24, FALSE) / VLOOKUP("industry|SO2|Infant mortality", US_national_yearly!$D:$AM, 10, FALSE), 1)</f>
        <v>4.8692616824242431E-6</v>
      </c>
      <c r="Q3" s="7">
        <f>$B3 * IFERROR(VLOOKUP("industry|SO2|Infant mortality", US_national_yearly!$D:$AM, 25, FALSE) / VLOOKUP("industry|SO2|Infant mortality", US_national_yearly!$D:$AM, 10, FALSE), 1)</f>
        <v>4.8487666624702605E-6</v>
      </c>
      <c r="R3" s="7">
        <f>$B3 * IFERROR(VLOOKUP("industry|SO2|Infant mortality", US_national_yearly!$D:$AM, 26, FALSE) / VLOOKUP("industry|SO2|Infant mortality", US_national_yearly!$D:$AM, 10, FALSE), 1)</f>
        <v>4.828271642516277E-6</v>
      </c>
      <c r="S3" s="7">
        <f>$B3 * IFERROR(VLOOKUP("industry|SO2|Infant mortality", US_national_yearly!$D:$AM, 27, FALSE) / VLOOKUP("industry|SO2|Infant mortality", US_national_yearly!$D:$AM, 10, FALSE), 1)</f>
        <v>4.8027658239842593E-6</v>
      </c>
      <c r="T3" s="7">
        <f>$B3 * IFERROR(VLOOKUP("industry|SO2|Infant mortality", US_national_yearly!$D:$AM, 28, FALSE) / VLOOKUP("industry|SO2|Infant mortality", US_national_yearly!$D:$AM, 10, FALSE), 1)</f>
        <v>4.7772600054522415E-6</v>
      </c>
      <c r="U3" s="7">
        <f>$B3 * IFERROR(VLOOKUP("industry|SO2|Infant mortality", US_national_yearly!$D:$AM, 29, FALSE) / VLOOKUP("industry|SO2|Infant mortality", US_national_yearly!$D:$AM, 10, FALSE), 1)</f>
        <v>4.751754186920223E-6</v>
      </c>
      <c r="V3" s="7">
        <f>$B3 * IFERROR(VLOOKUP("industry|SO2|Infant mortality", US_national_yearly!$D:$AM, 30, FALSE) / VLOOKUP("industry|SO2|Infant mortality", US_national_yearly!$D:$AM, 10, FALSE), 1)</f>
        <v>4.7262483683882052E-6</v>
      </c>
      <c r="W3" s="7">
        <f>$B3 * IFERROR(VLOOKUP("industry|SO2|Infant mortality", US_national_yearly!$D:$AM, 31, FALSE) / VLOOKUP("industry|SO2|Infant mortality", US_national_yearly!$D:$AM, 10, FALSE), 1)</f>
        <v>4.7007425498561875E-6</v>
      </c>
      <c r="X3" s="7">
        <f>$B3 * IFERROR(VLOOKUP("industry|SO2|Infant mortality", US_national_yearly!$D:$AM, 32, FALSE) / VLOOKUP("industry|SO2|Infant mortality", US_national_yearly!$D:$AM, 10, FALSE), 1)</f>
        <v>4.6730253365861057E-6</v>
      </c>
      <c r="Y3" s="7">
        <f>$B3 * IFERROR(VLOOKUP("industry|SO2|Infant mortality", US_national_yearly!$D:$AM, 33, FALSE) / VLOOKUP("industry|SO2|Infant mortality", US_national_yearly!$D:$AM, 10, FALSE), 1)</f>
        <v>4.6453081233160248E-6</v>
      </c>
      <c r="Z3" s="7">
        <f>$B3 * IFERROR(VLOOKUP("industry|SO2|Infant mortality", US_national_yearly!$D:$AM, 34, FALSE) / VLOOKUP("industry|SO2|Infant mortality", US_national_yearly!$D:$AM, 10, FALSE), 1)</f>
        <v>4.617590910045943E-6</v>
      </c>
      <c r="AA3" s="7">
        <f>$B3 * IFERROR(VLOOKUP("industry|SO2|Infant mortality", US_national_yearly!$D:$AM, 35, FALSE) / VLOOKUP("industry|SO2|Infant mortality", US_national_yearly!$D:$AM, 10, FALSE), 1)</f>
        <v>4.589873696775862E-6</v>
      </c>
      <c r="AB3" s="7">
        <f>$B3 * IFERROR(VLOOKUP("industry|SO2|Infant mortality", US_national_yearly!$D:$AM, 36, FALSE) / VLOOKUP("industry|SO2|Infant mortality", US_national_yearly!$D:$AM, 10, FALSE), 1)</f>
        <v>4.5621564835057802E-6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2.3414172638160317E-2</v>
      </c>
      <c r="C6" s="7">
        <f>$B6 * IFERROR(VLOOKUP("industry|SO2|Asthma symptoms cough", US_national_yearly!$D:$AM, 11, FALSE) / VLOOKUP("industry|SO2|Asthma symptoms cough", US_national_yearly!$D:$AM, 10, FALSE), 1)</f>
        <v>2.3414172638160317E-2</v>
      </c>
      <c r="D6" s="7">
        <f>$B6 * IFERROR(VLOOKUP("industry|SO2|Asthma symptoms cough", US_national_yearly!$D:$AM, 12, FALSE) / VLOOKUP("industry|SO2|Asthma symptoms cough", US_national_yearly!$D:$AM, 10, FALSE), 1)</f>
        <v>2.3414172638160317E-2</v>
      </c>
      <c r="E6" s="7">
        <f>$B6 * IFERROR(VLOOKUP("industry|SO2|Asthma symptoms cough", US_national_yearly!$D:$AM, 13, FALSE) / VLOOKUP("industry|SO2|Asthma symptoms cough", US_national_yearly!$D:$AM, 10, FALSE), 1)</f>
        <v>2.3414172638160317E-2</v>
      </c>
      <c r="F6" s="7">
        <f>$B6 * IFERROR(VLOOKUP("industry|SO2|Asthma symptoms cough", US_national_yearly!$D:$AM, 14, FALSE) / VLOOKUP("industry|SO2|Asthma symptoms cough", US_national_yearly!$D:$AM, 10, FALSE), 1)</f>
        <v>2.3414172638160317E-2</v>
      </c>
      <c r="G6" s="7">
        <f>$B6 * IFERROR(VLOOKUP("industry|SO2|Asthma symptoms cough", US_national_yearly!$D:$AM, 15, FALSE) / VLOOKUP("industry|SO2|Asthma symptoms cough", US_national_yearly!$D:$AM, 10, FALSE), 1)</f>
        <v>2.3414172638160317E-2</v>
      </c>
      <c r="H6" s="7">
        <f>$B6 * IFERROR(VLOOKUP("industry|SO2|Asthma symptoms cough", US_national_yearly!$D:$AM, 16, FALSE) / VLOOKUP("industry|SO2|Asthma symptoms cough", US_national_yearly!$D:$AM, 10, FALSE), 1)</f>
        <v>2.3414172638160317E-2</v>
      </c>
      <c r="I6" s="7">
        <f>$B6 * IFERROR(VLOOKUP("industry|SO2|Asthma symptoms cough", US_national_yearly!$D:$AM, 17, FALSE) / VLOOKUP("industry|SO2|Asthma symptoms cough", US_national_yearly!$D:$AM, 10, FALSE), 1)</f>
        <v>2.3414172638160317E-2</v>
      </c>
      <c r="J6" s="7">
        <f>$B6 * IFERROR(VLOOKUP("industry|SO2|Asthma symptoms cough", US_national_yearly!$D:$AM, 18, FALSE) / VLOOKUP("industry|SO2|Asthma symptoms cough", US_national_yearly!$D:$AM, 10, FALSE), 1)</f>
        <v>2.3414172638160317E-2</v>
      </c>
      <c r="K6" s="7">
        <f>$B6 * IFERROR(VLOOKUP("industry|SO2|Asthma symptoms cough", US_national_yearly!$D:$AM, 19, FALSE) / VLOOKUP("industry|SO2|Asthma symptoms cough", US_national_yearly!$D:$AM, 10, FALSE), 1)</f>
        <v>2.3414172638160317E-2</v>
      </c>
      <c r="L6" s="7">
        <f>$B6 * IFERROR(VLOOKUP("industry|SO2|Asthma symptoms cough", US_national_yearly!$D:$AM, 20, FALSE) / VLOOKUP("industry|SO2|Asthma symptoms cough", US_national_yearly!$D:$AM, 10, FALSE), 1)</f>
        <v>2.3414172638160317E-2</v>
      </c>
      <c r="M6" s="7">
        <f>$B6 * IFERROR(VLOOKUP("industry|SO2|Asthma symptoms cough", US_national_yearly!$D:$AM, 21, FALSE) / VLOOKUP("industry|SO2|Asthma symptoms cough", US_national_yearly!$D:$AM, 10, FALSE), 1)</f>
        <v>2.3414172638160317E-2</v>
      </c>
      <c r="N6" s="7">
        <f>$B6 * IFERROR(VLOOKUP("industry|SO2|Asthma symptoms cough", US_national_yearly!$D:$AM, 22, FALSE) / VLOOKUP("industry|SO2|Asthma symptoms cough", US_national_yearly!$D:$AM, 10, FALSE), 1)</f>
        <v>2.3414172638160317E-2</v>
      </c>
      <c r="O6" s="7">
        <f>$B6 * IFERROR(VLOOKUP("industry|SO2|Asthma symptoms cough", US_national_yearly!$D:$AM, 23, FALSE) / VLOOKUP("industry|SO2|Asthma symptoms cough", US_national_yearly!$D:$AM, 10, FALSE), 1)</f>
        <v>2.3414172638160317E-2</v>
      </c>
      <c r="P6" s="7">
        <f>$B6 * IFERROR(VLOOKUP("industry|SO2|Asthma symptoms cough", US_national_yearly!$D:$AM, 24, FALSE) / VLOOKUP("industry|SO2|Asthma symptoms cough", US_national_yearly!$D:$AM, 10, FALSE), 1)</f>
        <v>2.3414172638160317E-2</v>
      </c>
      <c r="Q6" s="7">
        <f>$B6 * IFERROR(VLOOKUP("industry|SO2|Asthma symptoms cough", US_national_yearly!$D:$AM, 25, FALSE) / VLOOKUP("industry|SO2|Asthma symptoms cough", US_national_yearly!$D:$AM, 10, FALSE), 1)</f>
        <v>2.3414172638160317E-2</v>
      </c>
      <c r="R6" s="7">
        <f>$B6 * IFERROR(VLOOKUP("industry|SO2|Asthma symptoms cough", US_national_yearly!$D:$AM, 26, FALSE) / VLOOKUP("industry|SO2|Asthma symptoms cough", US_national_yearly!$D:$AM, 10, FALSE), 1)</f>
        <v>2.3414172638160317E-2</v>
      </c>
      <c r="S6" s="7">
        <f>$B6 * IFERROR(VLOOKUP("industry|SO2|Asthma symptoms cough", US_national_yearly!$D:$AM, 27, FALSE) / VLOOKUP("industry|SO2|Asthma symptoms cough", US_national_yearly!$D:$AM, 10, FALSE), 1)</f>
        <v>2.3414172638160317E-2</v>
      </c>
      <c r="T6" s="7">
        <f>$B6 * IFERROR(VLOOKUP("industry|SO2|Asthma symptoms cough", US_national_yearly!$D:$AM, 28, FALSE) / VLOOKUP("industry|SO2|Asthma symptoms cough", US_national_yearly!$D:$AM, 10, FALSE), 1)</f>
        <v>2.3414172638160317E-2</v>
      </c>
      <c r="U6" s="7">
        <f>$B6 * IFERROR(VLOOKUP("industry|SO2|Asthma symptoms cough", US_national_yearly!$D:$AM, 29, FALSE) / VLOOKUP("industry|SO2|Asthma symptoms cough", US_national_yearly!$D:$AM, 10, FALSE), 1)</f>
        <v>2.3414172638160317E-2</v>
      </c>
      <c r="V6" s="7">
        <f>$B6 * IFERROR(VLOOKUP("industry|SO2|Asthma symptoms cough", US_national_yearly!$D:$AM, 30, FALSE) / VLOOKUP("industry|SO2|Asthma symptoms cough", US_national_yearly!$D:$AM, 10, FALSE), 1)</f>
        <v>2.3414172638160317E-2</v>
      </c>
      <c r="W6" s="7">
        <f>$B6 * IFERROR(VLOOKUP("industry|SO2|Asthma symptoms cough", US_national_yearly!$D:$AM, 31, FALSE) / VLOOKUP("industry|SO2|Asthma symptoms cough", US_national_yearly!$D:$AM, 10, FALSE), 1)</f>
        <v>2.3414172638160317E-2</v>
      </c>
      <c r="X6" s="7">
        <f>$B6 * IFERROR(VLOOKUP("industry|SO2|Asthma symptoms cough", US_national_yearly!$D:$AM, 32, FALSE) / VLOOKUP("industry|SO2|Asthma symptoms cough", US_national_yearly!$D:$AM, 10, FALSE), 1)</f>
        <v>2.3414172638160317E-2</v>
      </c>
      <c r="Y6" s="7">
        <f>$B6 * IFERROR(VLOOKUP("industry|SO2|Asthma symptoms cough", US_national_yearly!$D:$AM, 33, FALSE) / VLOOKUP("industry|SO2|Asthma symptoms cough", US_national_yearly!$D:$AM, 10, FALSE), 1)</f>
        <v>2.3414172638160317E-2</v>
      </c>
      <c r="Z6" s="7">
        <f>$B6 * IFERROR(VLOOKUP("industry|SO2|Asthma symptoms cough", US_national_yearly!$D:$AM, 34, FALSE) / VLOOKUP("industry|SO2|Asthma symptoms cough", US_national_yearly!$D:$AM, 10, FALSE), 1)</f>
        <v>2.3414172638160317E-2</v>
      </c>
      <c r="AA6" s="7">
        <f>$B6 * IFERROR(VLOOKUP("industry|SO2|Asthma symptoms cough", US_national_yearly!$D:$AM, 35, FALSE) / VLOOKUP("industry|SO2|Asthma symptoms cough", US_national_yearly!$D:$AM, 10, FALSE), 1)</f>
        <v>2.3414172638160317E-2</v>
      </c>
      <c r="AB6" s="7">
        <f>$B6 * IFERROR(VLOOKUP("industry|SO2|Asthma symptoms cough", US_national_yearly!$D:$AM, 36, FALSE) / VLOOKUP("industry|SO2|Asthma symptoms cough", US_national_yearly!$D:$AM, 10, FALSE), 1)</f>
        <v>2.3414172638160317E-2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3.153049536689697E-2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3.153049536689697E-2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3.153049536689697E-2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3.153049536689697E-2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3.153049536689697E-2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3.153049536689697E-2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3.153049536689697E-2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3.153049536689697E-2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3.153049536689697E-2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3.153049536689697E-2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3.153049536689697E-2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3.153049536689697E-2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3.153049536689697E-2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3.153049536689697E-2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3.153049536689697E-2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3.153049536689697E-2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3.153049536689697E-2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3.153049536689697E-2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3.153049536689697E-2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3.153049536689697E-2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3.153049536689697E-2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3.153049536689697E-2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3.153049536689697E-2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3.153049536689697E-2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3.153049536689697E-2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3.153049536689697E-2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3.153049536689697E-2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4.8173558585353812E-2</v>
      </c>
      <c r="C8" s="7">
        <f>$B8 * IFERROR(VLOOKUP("industry|SO2|Asthma symptoms wheeze", US_national_yearly!$D:$AM, 11, FALSE) / VLOOKUP("industry|SO2|Asthma symptoms wheeze", US_national_yearly!$D:$AM, 10, FALSE), 1)</f>
        <v>4.8173558585353812E-2</v>
      </c>
      <c r="D8" s="7">
        <f>$B8 * IFERROR(VLOOKUP("industry|SO2|Asthma symptoms wheeze", US_national_yearly!$D:$AM, 12, FALSE) / VLOOKUP("industry|SO2|Asthma symptoms wheeze", US_national_yearly!$D:$AM, 10, FALSE), 1)</f>
        <v>4.8173558585353812E-2</v>
      </c>
      <c r="E8" s="7">
        <f>$B8 * IFERROR(VLOOKUP("industry|SO2|Asthma symptoms wheeze", US_national_yearly!$D:$AM, 13, FALSE) / VLOOKUP("industry|SO2|Asthma symptoms wheeze", US_national_yearly!$D:$AM, 10, FALSE), 1)</f>
        <v>4.8173558585353812E-2</v>
      </c>
      <c r="F8" s="7">
        <f>$B8 * IFERROR(VLOOKUP("industry|SO2|Asthma symptoms wheeze", US_national_yearly!$D:$AM, 14, FALSE) / VLOOKUP("industry|SO2|Asthma symptoms wheeze", US_national_yearly!$D:$AM, 10, FALSE), 1)</f>
        <v>4.8173558585353812E-2</v>
      </c>
      <c r="G8" s="7">
        <f>$B8 * IFERROR(VLOOKUP("industry|SO2|Asthma symptoms wheeze", US_national_yearly!$D:$AM, 15, FALSE) / VLOOKUP("industry|SO2|Asthma symptoms wheeze", US_national_yearly!$D:$AM, 10, FALSE), 1)</f>
        <v>4.8173558585353812E-2</v>
      </c>
      <c r="H8" s="7">
        <f>$B8 * IFERROR(VLOOKUP("industry|SO2|Asthma symptoms wheeze", US_national_yearly!$D:$AM, 16, FALSE) / VLOOKUP("industry|SO2|Asthma symptoms wheeze", US_national_yearly!$D:$AM, 10, FALSE), 1)</f>
        <v>4.8173558585353812E-2</v>
      </c>
      <c r="I8" s="7">
        <f>$B8 * IFERROR(VLOOKUP("industry|SO2|Asthma symptoms wheeze", US_national_yearly!$D:$AM, 17, FALSE) / VLOOKUP("industry|SO2|Asthma symptoms wheeze", US_national_yearly!$D:$AM, 10, FALSE), 1)</f>
        <v>4.8173558585353812E-2</v>
      </c>
      <c r="J8" s="7">
        <f>$B8 * IFERROR(VLOOKUP("industry|SO2|Asthma symptoms wheeze", US_national_yearly!$D:$AM, 18, FALSE) / VLOOKUP("industry|SO2|Asthma symptoms wheeze", US_national_yearly!$D:$AM, 10, FALSE), 1)</f>
        <v>4.8173558585353812E-2</v>
      </c>
      <c r="K8" s="7">
        <f>$B8 * IFERROR(VLOOKUP("industry|SO2|Asthma symptoms wheeze", US_national_yearly!$D:$AM, 19, FALSE) / VLOOKUP("industry|SO2|Asthma symptoms wheeze", US_national_yearly!$D:$AM, 10, FALSE), 1)</f>
        <v>4.8173558585353812E-2</v>
      </c>
      <c r="L8" s="7">
        <f>$B8 * IFERROR(VLOOKUP("industry|SO2|Asthma symptoms wheeze", US_national_yearly!$D:$AM, 20, FALSE) / VLOOKUP("industry|SO2|Asthma symptoms wheeze", US_national_yearly!$D:$AM, 10, FALSE), 1)</f>
        <v>4.8173558585353812E-2</v>
      </c>
      <c r="M8" s="7">
        <f>$B8 * IFERROR(VLOOKUP("industry|SO2|Asthma symptoms wheeze", US_national_yearly!$D:$AM, 21, FALSE) / VLOOKUP("industry|SO2|Asthma symptoms wheeze", US_national_yearly!$D:$AM, 10, FALSE), 1)</f>
        <v>4.8173558585353812E-2</v>
      </c>
      <c r="N8" s="7">
        <f>$B8 * IFERROR(VLOOKUP("industry|SO2|Asthma symptoms wheeze", US_national_yearly!$D:$AM, 22, FALSE) / VLOOKUP("industry|SO2|Asthma symptoms wheeze", US_national_yearly!$D:$AM, 10, FALSE), 1)</f>
        <v>4.8173558585353812E-2</v>
      </c>
      <c r="O8" s="7">
        <f>$B8 * IFERROR(VLOOKUP("industry|SO2|Asthma symptoms wheeze", US_national_yearly!$D:$AM, 23, FALSE) / VLOOKUP("industry|SO2|Asthma symptoms wheeze", US_national_yearly!$D:$AM, 10, FALSE), 1)</f>
        <v>4.8173558585353812E-2</v>
      </c>
      <c r="P8" s="7">
        <f>$B8 * IFERROR(VLOOKUP("industry|SO2|Asthma symptoms wheeze", US_national_yearly!$D:$AM, 24, FALSE) / VLOOKUP("industry|SO2|Asthma symptoms wheeze", US_national_yearly!$D:$AM, 10, FALSE), 1)</f>
        <v>4.8173558585353812E-2</v>
      </c>
      <c r="Q8" s="7">
        <f>$B8 * IFERROR(VLOOKUP("industry|SO2|Asthma symptoms wheeze", US_national_yearly!$D:$AM, 25, FALSE) / VLOOKUP("industry|SO2|Asthma symptoms wheeze", US_national_yearly!$D:$AM, 10, FALSE), 1)</f>
        <v>4.8173558585353812E-2</v>
      </c>
      <c r="R8" s="7">
        <f>$B8 * IFERROR(VLOOKUP("industry|SO2|Asthma symptoms wheeze", US_national_yearly!$D:$AM, 26, FALSE) / VLOOKUP("industry|SO2|Asthma symptoms wheeze", US_national_yearly!$D:$AM, 10, FALSE), 1)</f>
        <v>4.8173558585353812E-2</v>
      </c>
      <c r="S8" s="7">
        <f>$B8 * IFERROR(VLOOKUP("industry|SO2|Asthma symptoms wheeze", US_national_yearly!$D:$AM, 27, FALSE) / VLOOKUP("industry|SO2|Asthma symptoms wheeze", US_national_yearly!$D:$AM, 10, FALSE), 1)</f>
        <v>4.8173558585353812E-2</v>
      </c>
      <c r="T8" s="7">
        <f>$B8 * IFERROR(VLOOKUP("industry|SO2|Asthma symptoms wheeze", US_national_yearly!$D:$AM, 28, FALSE) / VLOOKUP("industry|SO2|Asthma symptoms wheeze", US_national_yearly!$D:$AM, 10, FALSE), 1)</f>
        <v>4.8173558585353812E-2</v>
      </c>
      <c r="U8" s="7">
        <f>$B8 * IFERROR(VLOOKUP("industry|SO2|Asthma symptoms wheeze", US_national_yearly!$D:$AM, 29, FALSE) / VLOOKUP("industry|SO2|Asthma symptoms wheeze", US_national_yearly!$D:$AM, 10, FALSE), 1)</f>
        <v>4.8173558585353812E-2</v>
      </c>
      <c r="V8" s="7">
        <f>$B8 * IFERROR(VLOOKUP("industry|SO2|Asthma symptoms wheeze", US_national_yearly!$D:$AM, 30, FALSE) / VLOOKUP("industry|SO2|Asthma symptoms wheeze", US_national_yearly!$D:$AM, 10, FALSE), 1)</f>
        <v>4.8173558585353812E-2</v>
      </c>
      <c r="W8" s="7">
        <f>$B8 * IFERROR(VLOOKUP("industry|SO2|Asthma symptoms wheeze", US_national_yearly!$D:$AM, 31, FALSE) / VLOOKUP("industry|SO2|Asthma symptoms wheeze", US_national_yearly!$D:$AM, 10, FALSE), 1)</f>
        <v>4.8173558585353812E-2</v>
      </c>
      <c r="X8" s="7">
        <f>$B8 * IFERROR(VLOOKUP("industry|SO2|Asthma symptoms wheeze", US_national_yearly!$D:$AM, 32, FALSE) / VLOOKUP("industry|SO2|Asthma symptoms wheeze", US_national_yearly!$D:$AM, 10, FALSE), 1)</f>
        <v>4.8173558585353812E-2</v>
      </c>
      <c r="Y8" s="7">
        <f>$B8 * IFERROR(VLOOKUP("industry|SO2|Asthma symptoms wheeze", US_national_yearly!$D:$AM, 33, FALSE) / VLOOKUP("industry|SO2|Asthma symptoms wheeze", US_national_yearly!$D:$AM, 10, FALSE), 1)</f>
        <v>4.8173558585353812E-2</v>
      </c>
      <c r="Z8" s="7">
        <f>$B8 * IFERROR(VLOOKUP("industry|SO2|Asthma symptoms wheeze", US_national_yearly!$D:$AM, 34, FALSE) / VLOOKUP("industry|SO2|Asthma symptoms wheeze", US_national_yearly!$D:$AM, 10, FALSE), 1)</f>
        <v>4.8173558585353812E-2</v>
      </c>
      <c r="AA8" s="7">
        <f>$B8 * IFERROR(VLOOKUP("industry|SO2|Asthma symptoms wheeze", US_national_yearly!$D:$AM, 35, FALSE) / VLOOKUP("industry|SO2|Asthma symptoms wheeze", US_national_yearly!$D:$AM, 10, FALSE), 1)</f>
        <v>4.8173558585353812E-2</v>
      </c>
      <c r="AB8" s="7">
        <f>$B8 * IFERROR(VLOOKUP("industry|SO2|Asthma symptoms wheeze", US_national_yearly!$D:$AM, 36, FALSE) / VLOOKUP("industry|SO2|Asthma symptoms wheeze", US_national_yearly!$D:$AM, 10, FALSE), 1)</f>
        <v>4.8173558585353812E-2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8.5394328751115303E-4</v>
      </c>
      <c r="C12" s="7">
        <f>$B12 * IFERROR(VLOOKUP("industry|SO2|Respiratory hospital admissions", US_national_yearly!$D:$AM, 11, FALSE) / VLOOKUP("industry|SO2|Respiratory hospital admissions", US_national_yearly!$D:$AM, 10, FALSE), 1)</f>
        <v>8.5894576495418372E-4</v>
      </c>
      <c r="D12" s="7">
        <f>$B12 * IFERROR(VLOOKUP("industry|SO2|Respiratory hospital admissions", US_national_yearly!$D:$AM, 12, FALSE) / VLOOKUP("industry|SO2|Respiratory hospital admissions", US_national_yearly!$D:$AM, 10, FALSE), 1)</f>
        <v>8.639482423972144E-4</v>
      </c>
      <c r="E12" s="7">
        <f>$B12 * IFERROR(VLOOKUP("industry|SO2|Respiratory hospital admissions", US_national_yearly!$D:$AM, 13, FALSE) / VLOOKUP("industry|SO2|Respiratory hospital admissions", US_national_yearly!$D:$AM, 10, FALSE), 1)</f>
        <v>8.6895071984024509E-4</v>
      </c>
      <c r="F12" s="7">
        <f>$B12 * IFERROR(VLOOKUP("industry|SO2|Respiratory hospital admissions", US_national_yearly!$D:$AM, 14, FALSE) / VLOOKUP("industry|SO2|Respiratory hospital admissions", US_national_yearly!$D:$AM, 10, FALSE), 1)</f>
        <v>8.7395319728327599E-4</v>
      </c>
      <c r="G12" s="7">
        <f>$B12 * IFERROR(VLOOKUP("industry|SO2|Respiratory hospital admissions", US_national_yearly!$D:$AM, 15, FALSE) / VLOOKUP("industry|SO2|Respiratory hospital admissions", US_national_yearly!$D:$AM, 10, FALSE), 1)</f>
        <v>8.794068653863264E-4</v>
      </c>
      <c r="H12" s="7">
        <f>$B12 * IFERROR(VLOOKUP("industry|SO2|Respiratory hospital admissions", US_national_yearly!$D:$AM, 16, FALSE) / VLOOKUP("industry|SO2|Respiratory hospital admissions", US_national_yearly!$D:$AM, 10, FALSE), 1)</f>
        <v>8.8486053348937682E-4</v>
      </c>
      <c r="I12" s="7">
        <f>$B12 * IFERROR(VLOOKUP("industry|SO2|Respiratory hospital admissions", US_national_yearly!$D:$AM, 17, FALSE) / VLOOKUP("industry|SO2|Respiratory hospital admissions", US_national_yearly!$D:$AM, 10, FALSE), 1)</f>
        <v>8.9021692981064784E-4</v>
      </c>
      <c r="J12" s="7">
        <f>$B12 * IFERROR(VLOOKUP("industry|SO2|Respiratory hospital admissions", US_national_yearly!$D:$AM, 18, FALSE) / VLOOKUP("industry|SO2|Respiratory hospital admissions", US_national_yearly!$D:$AM, 10, FALSE), 1)</f>
        <v>8.9557332613191898E-4</v>
      </c>
      <c r="K12" s="7">
        <f>$B12 * IFERROR(VLOOKUP("industry|SO2|Respiratory hospital admissions", US_national_yearly!$D:$AM, 19, FALSE) / VLOOKUP("industry|SO2|Respiratory hospital admissions", US_national_yearly!$D:$AM, 10, FALSE), 1)</f>
        <v>9.009297224531899E-4</v>
      </c>
      <c r="L12" s="7">
        <f>$B12 * IFERROR(VLOOKUP("industry|SO2|Respiratory hospital admissions", US_national_yearly!$D:$AM, 20, FALSE) / VLOOKUP("industry|SO2|Respiratory hospital admissions", US_national_yearly!$D:$AM, 10, FALSE), 1)</f>
        <v>9.0628611877446104E-4</v>
      </c>
      <c r="M12" s="7">
        <f>$B12 * IFERROR(VLOOKUP("industry|SO2|Respiratory hospital admissions", US_national_yearly!$D:$AM, 21, FALSE) / VLOOKUP("industry|SO2|Respiratory hospital admissions", US_national_yearly!$D:$AM, 10, FALSE), 1)</f>
        <v>9.1164251509573207E-4</v>
      </c>
      <c r="N12" s="7">
        <f>$B12 * IFERROR(VLOOKUP("industry|SO2|Respiratory hospital admissions", US_national_yearly!$D:$AM, 22, FALSE) / VLOOKUP("industry|SO2|Respiratory hospital admissions", US_national_yearly!$D:$AM, 10, FALSE), 1)</f>
        <v>9.1551847886578084E-4</v>
      </c>
      <c r="O12" s="7">
        <f>$B12 * IFERROR(VLOOKUP("industry|SO2|Respiratory hospital admissions", US_national_yearly!$D:$AM, 23, FALSE) / VLOOKUP("industry|SO2|Respiratory hospital admissions", US_national_yearly!$D:$AM, 10, FALSE), 1)</f>
        <v>9.1939444263582949E-4</v>
      </c>
      <c r="P12" s="7">
        <f>$B12 * IFERROR(VLOOKUP("industry|SO2|Respiratory hospital admissions", US_national_yearly!$D:$AM, 24, FALSE) / VLOOKUP("industry|SO2|Respiratory hospital admissions", US_national_yearly!$D:$AM, 10, FALSE), 1)</f>
        <v>9.2327040640587793E-4</v>
      </c>
      <c r="Q12" s="7">
        <f>$B12 * IFERROR(VLOOKUP("industry|SO2|Respiratory hospital admissions", US_national_yearly!$D:$AM, 25, FALSE) / VLOOKUP("industry|SO2|Respiratory hospital admissions", US_national_yearly!$D:$AM, 10, FALSE), 1)</f>
        <v>9.271463701759267E-4</v>
      </c>
      <c r="R12" s="7">
        <f>$B12 * IFERROR(VLOOKUP("industry|SO2|Respiratory hospital admissions", US_national_yearly!$D:$AM, 26, FALSE) / VLOOKUP("industry|SO2|Respiratory hospital admissions", US_national_yearly!$D:$AM, 10, FALSE), 1)</f>
        <v>9.3102233394597514E-4</v>
      </c>
      <c r="S12" s="7">
        <f>$B12 * IFERROR(VLOOKUP("industry|SO2|Respiratory hospital admissions", US_national_yearly!$D:$AM, 27, FALSE) / VLOOKUP("industry|SO2|Respiratory hospital admissions", US_national_yearly!$D:$AM, 10, FALSE), 1)</f>
        <v>9.3470584503917771E-4</v>
      </c>
      <c r="T12" s="7">
        <f>$B12 * IFERROR(VLOOKUP("industry|SO2|Respiratory hospital admissions", US_national_yearly!$D:$AM, 28, FALSE) / VLOOKUP("industry|SO2|Respiratory hospital admissions", US_national_yearly!$D:$AM, 10, FALSE), 1)</f>
        <v>9.3838935613238007E-4</v>
      </c>
      <c r="U12" s="7">
        <f>$B12 * IFERROR(VLOOKUP("industry|SO2|Respiratory hospital admissions", US_national_yearly!$D:$AM, 29, FALSE) / VLOOKUP("industry|SO2|Respiratory hospital admissions", US_national_yearly!$D:$AM, 10, FALSE), 1)</f>
        <v>9.4207286722558243E-4</v>
      </c>
      <c r="V12" s="7">
        <f>$B12 * IFERROR(VLOOKUP("industry|SO2|Respiratory hospital admissions", US_national_yearly!$D:$AM, 30, FALSE) / VLOOKUP("industry|SO2|Respiratory hospital admissions", US_national_yearly!$D:$AM, 10, FALSE), 1)</f>
        <v>9.457563783187849E-4</v>
      </c>
      <c r="W12" s="7">
        <f>$B12 * IFERROR(VLOOKUP("industry|SO2|Respiratory hospital admissions", US_national_yearly!$D:$AM, 31, FALSE) / VLOOKUP("industry|SO2|Respiratory hospital admissions", US_national_yearly!$D:$AM, 10, FALSE), 1)</f>
        <v>9.4943988941198726E-4</v>
      </c>
      <c r="X12" s="7">
        <f>$B12 * IFERROR(VLOOKUP("industry|SO2|Respiratory hospital admissions", US_national_yearly!$D:$AM, 32, FALSE) / VLOOKUP("industry|SO2|Respiratory hospital admissions", US_national_yearly!$D:$AM, 10, FALSE), 1)</f>
        <v>9.5293780687938096E-4</v>
      </c>
      <c r="Y12" s="7">
        <f>$B12 * IFERROR(VLOOKUP("industry|SO2|Respiratory hospital admissions", US_national_yearly!$D:$AM, 33, FALSE) / VLOOKUP("industry|SO2|Respiratory hospital admissions", US_national_yearly!$D:$AM, 10, FALSE), 1)</f>
        <v>9.5643572434677489E-4</v>
      </c>
      <c r="Z12" s="7">
        <f>$B12 * IFERROR(VLOOKUP("industry|SO2|Respiratory hospital admissions", US_national_yearly!$D:$AM, 34, FALSE) / VLOOKUP("industry|SO2|Respiratory hospital admissions", US_national_yearly!$D:$AM, 10, FALSE), 1)</f>
        <v>9.599336418141686E-4</v>
      </c>
      <c r="AA12" s="7">
        <f>$B12 * IFERROR(VLOOKUP("industry|SO2|Respiratory hospital admissions", US_national_yearly!$D:$AM, 35, FALSE) / VLOOKUP("industry|SO2|Respiratory hospital admissions", US_national_yearly!$D:$AM, 10, FALSE), 1)</f>
        <v>9.634315592815623E-4</v>
      </c>
      <c r="AB12" s="7">
        <f>$B12 * IFERROR(VLOOKUP("industry|SO2|Respiratory hospital admissions", US_national_yearly!$D:$AM, 36, FALSE) / VLOOKUP("industry|SO2|Respiratory hospital admissions", US_national_yearly!$D:$AM, 10, FALSE), 1)</f>
        <v>9.6692947674895612E-4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5.0724164691416445E-3</v>
      </c>
      <c r="C13" s="7">
        <f>$B13 * IFERROR(VLOOKUP("industry|SO2|Non-fatal heart attacks", US_national_yearly!$D:$AM, 11, FALSE) / VLOOKUP("industry|SO2|Non-fatal heart attacks", US_national_yearly!$D:$AM, 10, FALSE), 1)</f>
        <v>5.2213235954408372E-3</v>
      </c>
      <c r="D13" s="7">
        <f>$B13 * IFERROR(VLOOKUP("industry|SO2|Non-fatal heart attacks", US_national_yearly!$D:$AM, 12, FALSE) / VLOOKUP("industry|SO2|Non-fatal heart attacks", US_national_yearly!$D:$AM, 10, FALSE), 1)</f>
        <v>5.3702307217400299E-3</v>
      </c>
      <c r="E13" s="7">
        <f>$B13 * IFERROR(VLOOKUP("industry|SO2|Non-fatal heart attacks", US_national_yearly!$D:$AM, 13, FALSE) / VLOOKUP("industry|SO2|Non-fatal heart attacks", US_national_yearly!$D:$AM, 10, FALSE), 1)</f>
        <v>5.5191378480392208E-3</v>
      </c>
      <c r="F13" s="7">
        <f>$B13 * IFERROR(VLOOKUP("industry|SO2|Non-fatal heart attacks", US_national_yearly!$D:$AM, 14, FALSE) / VLOOKUP("industry|SO2|Non-fatal heart attacks", US_national_yearly!$D:$AM, 10, FALSE), 1)</f>
        <v>5.6680449743384143E-3</v>
      </c>
      <c r="G13" s="7">
        <f>$B13 * IFERROR(VLOOKUP("industry|SO2|Non-fatal heart attacks", US_national_yearly!$D:$AM, 15, FALSE) / VLOOKUP("industry|SO2|Non-fatal heart attacks", US_national_yearly!$D:$AM, 10, FALSE), 1)</f>
        <v>5.8085715870050906E-3</v>
      </c>
      <c r="H13" s="7">
        <f>$B13 * IFERROR(VLOOKUP("industry|SO2|Non-fatal heart attacks", US_national_yearly!$D:$AM, 16, FALSE) / VLOOKUP("industry|SO2|Non-fatal heart attacks", US_national_yearly!$D:$AM, 10, FALSE), 1)</f>
        <v>5.9490981996717669E-3</v>
      </c>
      <c r="I13" s="7">
        <f>$B13 * IFERROR(VLOOKUP("industry|SO2|Non-fatal heart attacks", US_national_yearly!$D:$AM, 17, FALSE) / VLOOKUP("industry|SO2|Non-fatal heart attacks", US_national_yearly!$D:$AM, 10, FALSE), 1)</f>
        <v>6.062386973801218E-3</v>
      </c>
      <c r="J13" s="7">
        <f>$B13 * IFERROR(VLOOKUP("industry|SO2|Non-fatal heart attacks", US_national_yearly!$D:$AM, 18, FALSE) / VLOOKUP("industry|SO2|Non-fatal heart attacks", US_national_yearly!$D:$AM, 10, FALSE), 1)</f>
        <v>6.1756757479306708E-3</v>
      </c>
      <c r="K13" s="7">
        <f>$B13 * IFERROR(VLOOKUP("industry|SO2|Non-fatal heart attacks", US_national_yearly!$D:$AM, 19, FALSE) / VLOOKUP("industry|SO2|Non-fatal heart attacks", US_national_yearly!$D:$AM, 10, FALSE), 1)</f>
        <v>6.2889645220601227E-3</v>
      </c>
      <c r="L13" s="7">
        <f>$B13 * IFERROR(VLOOKUP("industry|SO2|Non-fatal heart attacks", US_national_yearly!$D:$AM, 20, FALSE) / VLOOKUP("industry|SO2|Non-fatal heart attacks", US_national_yearly!$D:$AM, 10, FALSE), 1)</f>
        <v>6.4022532961895747E-3</v>
      </c>
      <c r="M13" s="7">
        <f>$B13 * IFERROR(VLOOKUP("industry|SO2|Non-fatal heart attacks", US_national_yearly!$D:$AM, 21, FALSE) / VLOOKUP("industry|SO2|Non-fatal heart attacks", US_national_yearly!$D:$AM, 10, FALSE), 1)</f>
        <v>6.5155420703190267E-3</v>
      </c>
      <c r="N13" s="7">
        <f>$B13 * IFERROR(VLOOKUP("industry|SO2|Non-fatal heart attacks", US_national_yearly!$D:$AM, 22, FALSE) / VLOOKUP("industry|SO2|Non-fatal heart attacks", US_national_yearly!$D:$AM, 10, FALSE), 1)</f>
        <v>6.5891404935571312E-3</v>
      </c>
      <c r="O13" s="7">
        <f>$B13 * IFERROR(VLOOKUP("industry|SO2|Non-fatal heart attacks", US_national_yearly!$D:$AM, 23, FALSE) / VLOOKUP("industry|SO2|Non-fatal heart attacks", US_national_yearly!$D:$AM, 10, FALSE), 1)</f>
        <v>6.6627389167952375E-3</v>
      </c>
      <c r="P13" s="7">
        <f>$B13 * IFERROR(VLOOKUP("industry|SO2|Non-fatal heart attacks", US_national_yearly!$D:$AM, 24, FALSE) / VLOOKUP("industry|SO2|Non-fatal heart attacks", US_national_yearly!$D:$AM, 10, FALSE), 1)</f>
        <v>6.736337340033342E-3</v>
      </c>
      <c r="Q13" s="7">
        <f>$B13 * IFERROR(VLOOKUP("industry|SO2|Non-fatal heart attacks", US_national_yearly!$D:$AM, 25, FALSE) / VLOOKUP("industry|SO2|Non-fatal heart attacks", US_national_yearly!$D:$AM, 10, FALSE), 1)</f>
        <v>6.8099357632714465E-3</v>
      </c>
      <c r="R13" s="7">
        <f>$B13 * IFERROR(VLOOKUP("industry|SO2|Non-fatal heart attacks", US_national_yearly!$D:$AM, 26, FALSE) / VLOOKUP("industry|SO2|Non-fatal heart attacks", US_national_yearly!$D:$AM, 10, FALSE), 1)</f>
        <v>6.8835341865095519E-3</v>
      </c>
      <c r="S13" s="7">
        <f>$B13 * IFERROR(VLOOKUP("industry|SO2|Non-fatal heart attacks", US_national_yearly!$D:$AM, 27, FALSE) / VLOOKUP("industry|SO2|Non-fatal heart attacks", US_national_yearly!$D:$AM, 10, FALSE), 1)</f>
        <v>6.9221891605094257E-3</v>
      </c>
      <c r="T13" s="7">
        <f>$B13 * IFERROR(VLOOKUP("industry|SO2|Non-fatal heart attacks", US_national_yearly!$D:$AM, 28, FALSE) / VLOOKUP("industry|SO2|Non-fatal heart attacks", US_national_yearly!$D:$AM, 10, FALSE), 1)</f>
        <v>6.9608441345092994E-3</v>
      </c>
      <c r="U13" s="7">
        <f>$B13 * IFERROR(VLOOKUP("industry|SO2|Non-fatal heart attacks", US_national_yearly!$D:$AM, 29, FALSE) / VLOOKUP("industry|SO2|Non-fatal heart attacks", US_national_yearly!$D:$AM, 10, FALSE), 1)</f>
        <v>6.9994991085091732E-3</v>
      </c>
      <c r="V13" s="7">
        <f>$B13 * IFERROR(VLOOKUP("industry|SO2|Non-fatal heart attacks", US_national_yearly!$D:$AM, 30, FALSE) / VLOOKUP("industry|SO2|Non-fatal heart attacks", US_national_yearly!$D:$AM, 10, FALSE), 1)</f>
        <v>7.0381540825090478E-3</v>
      </c>
      <c r="W13" s="7">
        <f>$B13 * IFERROR(VLOOKUP("industry|SO2|Non-fatal heart attacks", US_national_yearly!$D:$AM, 31, FALSE) / VLOOKUP("industry|SO2|Non-fatal heart attacks", US_national_yearly!$D:$AM, 10, FALSE), 1)</f>
        <v>7.0768090565089216E-3</v>
      </c>
      <c r="X13" s="7">
        <f>$B13 * IFERROR(VLOOKUP("industry|SO2|Non-fatal heart attacks", US_national_yearly!$D:$AM, 32, FALSE) / VLOOKUP("industry|SO2|Non-fatal heart attacks", US_national_yearly!$D:$AM, 10, FALSE), 1)</f>
        <v>7.1061663937914514E-3</v>
      </c>
      <c r="Y13" s="7">
        <f>$B13 * IFERROR(VLOOKUP("industry|SO2|Non-fatal heart attacks", US_national_yearly!$D:$AM, 33, FALSE) / VLOOKUP("industry|SO2|Non-fatal heart attacks", US_national_yearly!$D:$AM, 10, FALSE), 1)</f>
        <v>7.1355237310739813E-3</v>
      </c>
      <c r="Z13" s="7">
        <f>$B13 * IFERROR(VLOOKUP("industry|SO2|Non-fatal heart attacks", US_national_yearly!$D:$AM, 34, FALSE) / VLOOKUP("industry|SO2|Non-fatal heart attacks", US_national_yearly!$D:$AM, 10, FALSE), 1)</f>
        <v>7.1648810683565111E-3</v>
      </c>
      <c r="AA13" s="7">
        <f>$B13 * IFERROR(VLOOKUP("industry|SO2|Non-fatal heart attacks", US_national_yearly!$D:$AM, 35, FALSE) / VLOOKUP("industry|SO2|Non-fatal heart attacks", US_national_yearly!$D:$AM, 10, FALSE), 1)</f>
        <v>7.1942384056390418E-3</v>
      </c>
      <c r="AB13" s="7">
        <f>$B13 * IFERROR(VLOOKUP("industry|SO2|Non-fatal heart attacks", US_national_yearly!$D:$AM, 36, FALSE) / VLOOKUP("industry|SO2|Non-fatal heart attacks", US_national_yearly!$D:$AM, 10, FALSE), 1)</f>
        <v>7.2235957429215717E-3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3.4354206918043992</v>
      </c>
      <c r="C14" s="7">
        <f>$B14 * IFERROR(VLOOKUP("industry|SO2|Minor restricted activity days", US_national_yearly!$D:$AM, 11, FALSE) / VLOOKUP("industry|SO2|Minor restricted activity days", US_national_yearly!$D:$AM, 10, FALSE), 1)</f>
        <v>3.4440140154905023</v>
      </c>
      <c r="D14" s="7">
        <f>$B14 * IFERROR(VLOOKUP("industry|SO2|Minor restricted activity days", US_national_yearly!$D:$AM, 12, FALSE) / VLOOKUP("industry|SO2|Minor restricted activity days", US_national_yearly!$D:$AM, 10, FALSE), 1)</f>
        <v>3.4526073391766046</v>
      </c>
      <c r="E14" s="7">
        <f>$B14 * IFERROR(VLOOKUP("industry|SO2|Minor restricted activity days", US_national_yearly!$D:$AM, 13, FALSE) / VLOOKUP("industry|SO2|Minor restricted activity days", US_national_yearly!$D:$AM, 10, FALSE), 1)</f>
        <v>3.4612006628627077</v>
      </c>
      <c r="F14" s="7">
        <f>$B14 * IFERROR(VLOOKUP("industry|SO2|Minor restricted activity days", US_national_yearly!$D:$AM, 14, FALSE) / VLOOKUP("industry|SO2|Minor restricted activity days", US_national_yearly!$D:$AM, 10, FALSE), 1)</f>
        <v>3.4697939865488103</v>
      </c>
      <c r="G14" s="7">
        <f>$B14 * IFERROR(VLOOKUP("industry|SO2|Minor restricted activity days", US_national_yearly!$D:$AM, 15, FALSE) / VLOOKUP("industry|SO2|Minor restricted activity days", US_national_yearly!$D:$AM, 10, FALSE), 1)</f>
        <v>3.482435584525565</v>
      </c>
      <c r="H14" s="7">
        <f>$B14 * IFERROR(VLOOKUP("industry|SO2|Minor restricted activity days", US_national_yearly!$D:$AM, 16, FALSE) / VLOOKUP("industry|SO2|Minor restricted activity days", US_national_yearly!$D:$AM, 10, FALSE), 1)</f>
        <v>3.4950771825023184</v>
      </c>
      <c r="I14" s="7">
        <f>$B14 * IFERROR(VLOOKUP("industry|SO2|Minor restricted activity days", US_national_yearly!$D:$AM, 17, FALSE) / VLOOKUP("industry|SO2|Minor restricted activity days", US_national_yearly!$D:$AM, 10, FALSE), 1)</f>
        <v>3.5166349308477667</v>
      </c>
      <c r="J14" s="7">
        <f>$B14 * IFERROR(VLOOKUP("industry|SO2|Minor restricted activity days", US_national_yearly!$D:$AM, 18, FALSE) / VLOOKUP("industry|SO2|Minor restricted activity days", US_national_yearly!$D:$AM, 10, FALSE), 1)</f>
        <v>3.538192679193215</v>
      </c>
      <c r="K14" s="7">
        <f>$B14 * IFERROR(VLOOKUP("industry|SO2|Minor restricted activity days", US_national_yearly!$D:$AM, 19, FALSE) / VLOOKUP("industry|SO2|Minor restricted activity days", US_national_yearly!$D:$AM, 10, FALSE), 1)</f>
        <v>3.5597504275386633</v>
      </c>
      <c r="L14" s="7">
        <f>$B14 * IFERROR(VLOOKUP("industry|SO2|Minor restricted activity days", US_national_yearly!$D:$AM, 20, FALSE) / VLOOKUP("industry|SO2|Minor restricted activity days", US_national_yearly!$D:$AM, 10, FALSE), 1)</f>
        <v>3.5813081758841117</v>
      </c>
      <c r="M14" s="7">
        <f>$B14 * IFERROR(VLOOKUP("industry|SO2|Minor restricted activity days", US_national_yearly!$D:$AM, 21, FALSE) / VLOOKUP("industry|SO2|Minor restricted activity days", US_national_yearly!$D:$AM, 10, FALSE), 1)</f>
        <v>3.6028659242295604</v>
      </c>
      <c r="N14" s="7">
        <f>$B14 * IFERROR(VLOOKUP("industry|SO2|Minor restricted activity days", US_national_yearly!$D:$AM, 22, FALSE) / VLOOKUP("industry|SO2|Minor restricted activity days", US_national_yearly!$D:$AM, 10, FALSE), 1)</f>
        <v>3.6324241899015965</v>
      </c>
      <c r="O14" s="7">
        <f>$B14 * IFERROR(VLOOKUP("industry|SO2|Minor restricted activity days", US_national_yearly!$D:$AM, 23, FALSE) / VLOOKUP("industry|SO2|Minor restricted activity days", US_national_yearly!$D:$AM, 10, FALSE), 1)</f>
        <v>3.6619824555736331</v>
      </c>
      <c r="P14" s="7">
        <f>$B14 * IFERROR(VLOOKUP("industry|SO2|Minor restricted activity days", US_national_yearly!$D:$AM, 24, FALSE) / VLOOKUP("industry|SO2|Minor restricted activity days", US_national_yearly!$D:$AM, 10, FALSE), 1)</f>
        <v>3.6915407212456692</v>
      </c>
      <c r="Q14" s="7">
        <f>$B14 * IFERROR(VLOOKUP("industry|SO2|Minor restricted activity days", US_national_yearly!$D:$AM, 25, FALSE) / VLOOKUP("industry|SO2|Minor restricted activity days", US_national_yearly!$D:$AM, 10, FALSE), 1)</f>
        <v>3.7210989869177062</v>
      </c>
      <c r="R14" s="7">
        <f>$B14 * IFERROR(VLOOKUP("industry|SO2|Minor restricted activity days", US_national_yearly!$D:$AM, 26, FALSE) / VLOOKUP("industry|SO2|Minor restricted activity days", US_national_yearly!$D:$AM, 10, FALSE), 1)</f>
        <v>3.7506572525897428</v>
      </c>
      <c r="S14" s="7">
        <f>$B14 * IFERROR(VLOOKUP("industry|SO2|Minor restricted activity days", US_national_yearly!$D:$AM, 27, FALSE) / VLOOKUP("industry|SO2|Minor restricted activity days", US_national_yearly!$D:$AM, 10, FALSE), 1)</f>
        <v>3.7808238498922369</v>
      </c>
      <c r="T14" s="7">
        <f>$B14 * IFERROR(VLOOKUP("industry|SO2|Minor restricted activity days", US_national_yearly!$D:$AM, 28, FALSE) / VLOOKUP("industry|SO2|Minor restricted activity days", US_national_yearly!$D:$AM, 10, FALSE), 1)</f>
        <v>3.8109904471947318</v>
      </c>
      <c r="U14" s="7">
        <f>$B14 * IFERROR(VLOOKUP("industry|SO2|Minor restricted activity days", US_national_yearly!$D:$AM, 29, FALSE) / VLOOKUP("industry|SO2|Minor restricted activity days", US_national_yearly!$D:$AM, 10, FALSE), 1)</f>
        <v>3.8411570444972258</v>
      </c>
      <c r="V14" s="7">
        <f>$B14 * IFERROR(VLOOKUP("industry|SO2|Minor restricted activity days", US_national_yearly!$D:$AM, 30, FALSE) / VLOOKUP("industry|SO2|Minor restricted activity days", US_national_yearly!$D:$AM, 10, FALSE), 1)</f>
        <v>3.8713236417997208</v>
      </c>
      <c r="W14" s="7">
        <f>$B14 * IFERROR(VLOOKUP("industry|SO2|Minor restricted activity days", US_national_yearly!$D:$AM, 31, FALSE) / VLOOKUP("industry|SO2|Minor restricted activity days", US_national_yearly!$D:$AM, 10, FALSE), 1)</f>
        <v>3.9014902391022148</v>
      </c>
      <c r="X14" s="7">
        <f>$B14 * IFERROR(VLOOKUP("industry|SO2|Minor restricted activity days", US_national_yearly!$D:$AM, 32, FALSE) / VLOOKUP("industry|SO2|Minor restricted activity days", US_national_yearly!$D:$AM, 10, FALSE), 1)</f>
        <v>3.9280154900182285</v>
      </c>
      <c r="Y14" s="7">
        <f>$B14 * IFERROR(VLOOKUP("industry|SO2|Minor restricted activity days", US_national_yearly!$D:$AM, 33, FALSE) / VLOOKUP("industry|SO2|Minor restricted activity days", US_national_yearly!$D:$AM, 10, FALSE), 1)</f>
        <v>3.9545407409342412</v>
      </c>
      <c r="Z14" s="7">
        <f>$B14 * IFERROR(VLOOKUP("industry|SO2|Minor restricted activity days", US_national_yearly!$D:$AM, 34, FALSE) / VLOOKUP("industry|SO2|Minor restricted activity days", US_national_yearly!$D:$AM, 10, FALSE), 1)</f>
        <v>3.9810659918502544</v>
      </c>
      <c r="AA14" s="7">
        <f>$B14 * IFERROR(VLOOKUP("industry|SO2|Minor restricted activity days", US_national_yearly!$D:$AM, 35, FALSE) / VLOOKUP("industry|SO2|Minor restricted activity days", US_national_yearly!$D:$AM, 10, FALSE), 1)</f>
        <v>4.0075912427662672</v>
      </c>
      <c r="AB14" s="7">
        <f>$B14 * IFERROR(VLOOKUP("industry|SO2|Minor restricted activity days", US_national_yearly!$D:$AM, 36, FALSE) / VLOOKUP("industry|SO2|Minor restricted activity days", US_national_yearly!$D:$AM, 10, FALSE), 1)</f>
        <v>4.0341164936822809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0.57531048733201773</v>
      </c>
      <c r="C15" s="7">
        <f>$B15 * IFERROR(VLOOKUP("industry|SO2|Work loss days", US_national_yearly!$D:$AM, 11, FALSE) / VLOOKUP("industry|SO2|Work loss days", US_national_yearly!$D:$AM, 10, FALSE), 1)</f>
        <v>0.57716062086249897</v>
      </c>
      <c r="D15" s="7">
        <f>$B15 * IFERROR(VLOOKUP("industry|SO2|Work loss days", US_national_yearly!$D:$AM, 12, FALSE) / VLOOKUP("industry|SO2|Work loss days", US_national_yearly!$D:$AM, 10, FALSE), 1)</f>
        <v>0.57901075439298055</v>
      </c>
      <c r="E15" s="7">
        <f>$B15 * IFERROR(VLOOKUP("industry|SO2|Work loss days", US_national_yearly!$D:$AM, 13, FALSE) / VLOOKUP("industry|SO2|Work loss days", US_national_yearly!$D:$AM, 10, FALSE), 1)</f>
        <v>0.5808608879234618</v>
      </c>
      <c r="F15" s="7">
        <f>$B15 * IFERROR(VLOOKUP("industry|SO2|Work loss days", US_national_yearly!$D:$AM, 14, FALSE) / VLOOKUP("industry|SO2|Work loss days", US_national_yearly!$D:$AM, 10, FALSE), 1)</f>
        <v>0.58271102145394327</v>
      </c>
      <c r="G15" s="7">
        <f>$B15 * IFERROR(VLOOKUP("industry|SO2|Work loss days", US_national_yearly!$D:$AM, 15, FALSE) / VLOOKUP("industry|SO2|Work loss days", US_national_yearly!$D:$AM, 10, FALSE), 1)</f>
        <v>0.58512594568799292</v>
      </c>
      <c r="H15" s="7">
        <f>$B15 * IFERROR(VLOOKUP("industry|SO2|Work loss days", US_national_yearly!$D:$AM, 16, FALSE) / VLOOKUP("industry|SO2|Work loss days", US_national_yearly!$D:$AM, 10, FALSE), 1)</f>
        <v>0.58754086992204257</v>
      </c>
      <c r="I15" s="7">
        <f>$B15 * IFERROR(VLOOKUP("industry|SO2|Work loss days", US_national_yearly!$D:$AM, 17, FALSE) / VLOOKUP("industry|SO2|Work loss days", US_national_yearly!$D:$AM, 10, FALSE), 1)</f>
        <v>0.59107080866069894</v>
      </c>
      <c r="J15" s="7">
        <f>$B15 * IFERROR(VLOOKUP("industry|SO2|Work loss days", US_national_yearly!$D:$AM, 18, FALSE) / VLOOKUP("industry|SO2|Work loss days", US_national_yearly!$D:$AM, 10, FALSE), 1)</f>
        <v>0.59460074739935531</v>
      </c>
      <c r="K15" s="7">
        <f>$B15 * IFERROR(VLOOKUP("industry|SO2|Work loss days", US_national_yearly!$D:$AM, 19, FALSE) / VLOOKUP("industry|SO2|Work loss days", US_national_yearly!$D:$AM, 10, FALSE), 1)</f>
        <v>0.59813068613801157</v>
      </c>
      <c r="L15" s="7">
        <f>$B15 * IFERROR(VLOOKUP("industry|SO2|Work loss days", US_national_yearly!$D:$AM, 20, FALSE) / VLOOKUP("industry|SO2|Work loss days", US_national_yearly!$D:$AM, 10, FALSE), 1)</f>
        <v>0.60166062487666794</v>
      </c>
      <c r="M15" s="7">
        <f>$B15 * IFERROR(VLOOKUP("industry|SO2|Work loss days", US_national_yearly!$D:$AM, 21, FALSE) / VLOOKUP("industry|SO2|Work loss days", US_national_yearly!$D:$AM, 10, FALSE), 1)</f>
        <v>0.6051905636153242</v>
      </c>
      <c r="N15" s="7">
        <f>$B15 * IFERROR(VLOOKUP("industry|SO2|Work loss days", US_national_yearly!$D:$AM, 22, FALSE) / VLOOKUP("industry|SO2|Work loss days", US_national_yearly!$D:$AM, 10, FALSE), 1)</f>
        <v>0.6096271769345899</v>
      </c>
      <c r="O15" s="7">
        <f>$B15 * IFERROR(VLOOKUP("industry|SO2|Work loss days", US_national_yearly!$D:$AM, 23, FALSE) / VLOOKUP("industry|SO2|Work loss days", US_national_yearly!$D:$AM, 10, FALSE), 1)</f>
        <v>0.6140637902538556</v>
      </c>
      <c r="P15" s="7">
        <f>$B15 * IFERROR(VLOOKUP("industry|SO2|Work loss days", US_national_yearly!$D:$AM, 24, FALSE) / VLOOKUP("industry|SO2|Work loss days", US_national_yearly!$D:$AM, 10, FALSE), 1)</f>
        <v>0.61850040357312119</v>
      </c>
      <c r="Q15" s="7">
        <f>$B15 * IFERROR(VLOOKUP("industry|SO2|Work loss days", US_national_yearly!$D:$AM, 25, FALSE) / VLOOKUP("industry|SO2|Work loss days", US_national_yearly!$D:$AM, 10, FALSE), 1)</f>
        <v>0.6229370168923869</v>
      </c>
      <c r="R15" s="7">
        <f>$B15 * IFERROR(VLOOKUP("industry|SO2|Work loss days", US_national_yearly!$D:$AM, 26, FALSE) / VLOOKUP("industry|SO2|Work loss days", US_national_yearly!$D:$AM, 10, FALSE), 1)</f>
        <v>0.6273736302116526</v>
      </c>
      <c r="S15" s="7">
        <f>$B15 * IFERROR(VLOOKUP("industry|SO2|Work loss days", US_national_yearly!$D:$AM, 27, FALSE) / VLOOKUP("industry|SO2|Work loss days", US_national_yearly!$D:$AM, 10, FALSE), 1)</f>
        <v>0.63233801767145403</v>
      </c>
      <c r="T15" s="7">
        <f>$B15 * IFERROR(VLOOKUP("industry|SO2|Work loss days", US_national_yearly!$D:$AM, 28, FALSE) / VLOOKUP("industry|SO2|Work loss days", US_national_yearly!$D:$AM, 10, FALSE), 1)</f>
        <v>0.63730240513125569</v>
      </c>
      <c r="U15" s="7">
        <f>$B15 * IFERROR(VLOOKUP("industry|SO2|Work loss days", US_national_yearly!$D:$AM, 29, FALSE) / VLOOKUP("industry|SO2|Work loss days", US_national_yearly!$D:$AM, 10, FALSE), 1)</f>
        <v>0.64226679259105746</v>
      </c>
      <c r="V15" s="7">
        <f>$B15 * IFERROR(VLOOKUP("industry|SO2|Work loss days", US_national_yearly!$D:$AM, 30, FALSE) / VLOOKUP("industry|SO2|Work loss days", US_national_yearly!$D:$AM, 10, FALSE), 1)</f>
        <v>0.647231180050859</v>
      </c>
      <c r="W15" s="7">
        <f>$B15 * IFERROR(VLOOKUP("industry|SO2|Work loss days", US_national_yearly!$D:$AM, 31, FALSE) / VLOOKUP("industry|SO2|Work loss days", US_national_yearly!$D:$AM, 10, FALSE), 1)</f>
        <v>0.65219556751066066</v>
      </c>
      <c r="X15" s="7">
        <f>$B15 * IFERROR(VLOOKUP("industry|SO2|Work loss days", US_national_yearly!$D:$AM, 32, FALSE) / VLOOKUP("industry|SO2|Work loss days", US_national_yearly!$D:$AM, 10, FALSE), 1)</f>
        <v>0.65665444576065479</v>
      </c>
      <c r="Y15" s="7">
        <f>$B15 * IFERROR(VLOOKUP("industry|SO2|Work loss days", US_national_yearly!$D:$AM, 33, FALSE) / VLOOKUP("industry|SO2|Work loss days", US_national_yearly!$D:$AM, 10, FALSE), 1)</f>
        <v>0.66111332401064915</v>
      </c>
      <c r="Z15" s="7">
        <f>$B15 * IFERROR(VLOOKUP("industry|SO2|Work loss days", US_national_yearly!$D:$AM, 34, FALSE) / VLOOKUP("industry|SO2|Work loss days", US_national_yearly!$D:$AM, 10, FALSE), 1)</f>
        <v>0.66557220226064329</v>
      </c>
      <c r="AA15" s="7">
        <f>$B15 * IFERROR(VLOOKUP("industry|SO2|Work loss days", US_national_yearly!$D:$AM, 35, FALSE) / VLOOKUP("industry|SO2|Work loss days", US_national_yearly!$D:$AM, 10, FALSE), 1)</f>
        <v>0.67003108051063753</v>
      </c>
      <c r="AB15" s="7">
        <f>$B15 * IFERROR(VLOOKUP("industry|SO2|Work loss days", US_national_yearly!$D:$AM, 36, FALSE) / VLOOKUP("industry|SO2|Work loss days", US_national_yearly!$D:$AM, 10, FALSE), 1)</f>
        <v>0.67448995876063178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1.2467865962704529E-3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1.2844859275948273E-3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1.3221852589192019E-3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1.3598845902435767E-3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1.3975839215679513E-3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1.4337134787822908E-3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1.4698430359966301E-3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1.5008434612182122E-3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1.5318438864397946E-3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1.5628443116613769E-3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1.5938447368829592E-3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1.6248451621045414E-3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1.6456729282019074E-3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1.6665006942992735E-3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1.6873284603966393E-3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1.7081562264940054E-3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1.7289839925913714E-3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1.7399969078443075E-3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1.751009823097244E-3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1.7620227383501801E-3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1.7730356536031168E-3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1.7840485688560529E-3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1.7914962195018337E-3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1.798943870147614E-3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1.806391520793395E-3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1.8138391714391758E-3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1.8212868220849562E-3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5.7520430496887844E-5</v>
      </c>
      <c r="C2" s="7">
        <f>$B2 * IFERROR(VLOOKUP("LULUCF|PM25|Premature mortality", US_national_yearly!$D:$AM, 11, FALSE) / VLOOKUP("LULUCF|PM25|Premature mortality", US_national_yearly!$D:$AM, 10, FALSE), 1)</f>
        <v>5.8233557779823404E-5</v>
      </c>
      <c r="D2" s="7">
        <f>$B2 * IFERROR(VLOOKUP("LULUCF|PM25|Premature mortality", US_national_yearly!$D:$AM, 12, FALSE) / VLOOKUP("LULUCF|PM25|Premature mortality", US_national_yearly!$D:$AM, 10, FALSE), 1)</f>
        <v>5.8946685062758949E-5</v>
      </c>
      <c r="E2" s="7">
        <f>$B2 * IFERROR(VLOOKUP("LULUCF|PM25|Premature mortality", US_national_yearly!$D:$AM, 13, FALSE) / VLOOKUP("LULUCF|PM25|Premature mortality", US_national_yearly!$D:$AM, 10, FALSE), 1)</f>
        <v>5.9659812345694489E-5</v>
      </c>
      <c r="F2" s="7">
        <f>$B2 * IFERROR(VLOOKUP("LULUCF|PM25|Premature mortality", US_national_yearly!$D:$AM, 14, FALSE) / VLOOKUP("LULUCF|PM25|Premature mortality", US_national_yearly!$D:$AM, 10, FALSE), 1)</f>
        <v>6.0372939628630034E-5</v>
      </c>
      <c r="G2" s="7">
        <f>$B2 * IFERROR(VLOOKUP("LULUCF|PM25|Premature mortality", US_national_yearly!$D:$AM, 15, FALSE) / VLOOKUP("LULUCF|PM25|Premature mortality", US_national_yearly!$D:$AM, 10, FALSE), 1)</f>
        <v>6.1761749633868361E-5</v>
      </c>
      <c r="H2" s="7">
        <f>$B2 * IFERROR(VLOOKUP("LULUCF|PM25|Premature mortality", US_national_yearly!$D:$AM, 16, FALSE) / VLOOKUP("LULUCF|PM25|Premature mortality", US_national_yearly!$D:$AM, 10, FALSE), 1)</f>
        <v>6.3150559639106694E-5</v>
      </c>
      <c r="I2" s="7">
        <f>$B2 * IFERROR(VLOOKUP("LULUCF|PM25|Premature mortality", US_national_yearly!$D:$AM, 17, FALSE) / VLOOKUP("LULUCF|PM25|Premature mortality", US_national_yearly!$D:$AM, 10, FALSE), 1)</f>
        <v>6.4062788512692488E-5</v>
      </c>
      <c r="J2" s="7">
        <f>$B2 * IFERROR(VLOOKUP("LULUCF|PM25|Premature mortality", US_national_yearly!$D:$AM, 18, FALSE) / VLOOKUP("LULUCF|PM25|Premature mortality", US_national_yearly!$D:$AM, 10, FALSE), 1)</f>
        <v>6.4975017386278297E-5</v>
      </c>
      <c r="K2" s="7">
        <f>$B2 * IFERROR(VLOOKUP("LULUCF|PM25|Premature mortality", US_national_yearly!$D:$AM, 19, FALSE) / VLOOKUP("LULUCF|PM25|Premature mortality", US_national_yearly!$D:$AM, 10, FALSE), 1)</f>
        <v>6.5887246259864105E-5</v>
      </c>
      <c r="L2" s="7">
        <f>$B2 * IFERROR(VLOOKUP("LULUCF|PM25|Premature mortality", US_national_yearly!$D:$AM, 20, FALSE) / VLOOKUP("LULUCF|PM25|Premature mortality", US_national_yearly!$D:$AM, 10, FALSE), 1)</f>
        <v>6.6799475133449927E-5</v>
      </c>
      <c r="M2" s="7">
        <f>$B2 * IFERROR(VLOOKUP("LULUCF|PM25|Premature mortality", US_national_yearly!$D:$AM, 21, FALSE) / VLOOKUP("LULUCF|PM25|Premature mortality", US_national_yearly!$D:$AM, 10, FALSE), 1)</f>
        <v>6.7711704007035722E-5</v>
      </c>
      <c r="N2" s="7">
        <f>$B2 * IFERROR(VLOOKUP("LULUCF|PM25|Premature mortality", US_national_yearly!$D:$AM, 22, FALSE) / VLOOKUP("LULUCF|PM25|Premature mortality", US_national_yearly!$D:$AM, 10, FALSE), 1)</f>
        <v>6.8419991669444718E-5</v>
      </c>
      <c r="O2" s="7">
        <f>$B2 * IFERROR(VLOOKUP("LULUCF|PM25|Premature mortality", US_national_yearly!$D:$AM, 23, FALSE) / VLOOKUP("LULUCF|PM25|Premature mortality", US_national_yearly!$D:$AM, 10, FALSE), 1)</f>
        <v>6.9128279331853715E-5</v>
      </c>
      <c r="P2" s="7">
        <f>$B2 * IFERROR(VLOOKUP("LULUCF|PM25|Premature mortality", US_national_yearly!$D:$AM, 24, FALSE) / VLOOKUP("LULUCF|PM25|Premature mortality", US_national_yearly!$D:$AM, 10, FALSE), 1)</f>
        <v>6.9836566994262712E-5</v>
      </c>
      <c r="Q2" s="7">
        <f>$B2 * IFERROR(VLOOKUP("LULUCF|PM25|Premature mortality", US_national_yearly!$D:$AM, 25, FALSE) / VLOOKUP("LULUCF|PM25|Premature mortality", US_national_yearly!$D:$AM, 10, FALSE), 1)</f>
        <v>7.0544854656671722E-5</v>
      </c>
      <c r="R2" s="7">
        <f>$B2 * IFERROR(VLOOKUP("LULUCF|PM25|Premature mortality", US_national_yearly!$D:$AM, 26, FALSE) / VLOOKUP("LULUCF|PM25|Premature mortality", US_national_yearly!$D:$AM, 10, FALSE), 1)</f>
        <v>7.1253142319080732E-5</v>
      </c>
      <c r="S2" s="7">
        <f>$B2 * IFERROR(VLOOKUP("LULUCF|PM25|Premature mortality", US_national_yearly!$D:$AM, 27, FALSE) / VLOOKUP("LULUCF|PM25|Premature mortality", US_national_yearly!$D:$AM, 10, FALSE), 1)</f>
        <v>7.1628372078697157E-5</v>
      </c>
      <c r="T2" s="7">
        <f>$B2 * IFERROR(VLOOKUP("LULUCF|PM25|Premature mortality", US_national_yearly!$D:$AM, 28, FALSE) / VLOOKUP("LULUCF|PM25|Premature mortality", US_national_yearly!$D:$AM, 10, FALSE), 1)</f>
        <v>7.2003601838313569E-5</v>
      </c>
      <c r="U2" s="7">
        <f>$B2 * IFERROR(VLOOKUP("LULUCF|PM25|Premature mortality", US_national_yearly!$D:$AM, 29, FALSE) / VLOOKUP("LULUCF|PM25|Premature mortality", US_national_yearly!$D:$AM, 10, FALSE), 1)</f>
        <v>7.2378831597929994E-5</v>
      </c>
      <c r="V2" s="7">
        <f>$B2 * IFERROR(VLOOKUP("LULUCF|PM25|Premature mortality", US_national_yearly!$D:$AM, 30, FALSE) / VLOOKUP("LULUCF|PM25|Premature mortality", US_national_yearly!$D:$AM, 10, FALSE), 1)</f>
        <v>7.2754061357546405E-5</v>
      </c>
      <c r="W2" s="7">
        <f>$B2 * IFERROR(VLOOKUP("LULUCF|PM25|Premature mortality", US_national_yearly!$D:$AM, 31, FALSE) / VLOOKUP("LULUCF|PM25|Premature mortality", US_national_yearly!$D:$AM, 10, FALSE), 1)</f>
        <v>7.3129291117162831E-5</v>
      </c>
      <c r="X2" s="7">
        <f>$B2 * IFERROR(VLOOKUP("LULUCF|PM25|Premature mortality", US_national_yearly!$D:$AM, 32, FALSE) / VLOOKUP("LULUCF|PM25|Premature mortality", US_national_yearly!$D:$AM, 10, FALSE), 1)</f>
        <v>7.3194902943235024E-5</v>
      </c>
      <c r="Y2" s="7">
        <f>$B2 * IFERROR(VLOOKUP("LULUCF|PM25|Premature mortality", US_national_yearly!$D:$AM, 33, FALSE) / VLOOKUP("LULUCF|PM25|Premature mortality", US_national_yearly!$D:$AM, 10, FALSE), 1)</f>
        <v>7.3260514769307231E-5</v>
      </c>
      <c r="Z2" s="7">
        <f>$B2 * IFERROR(VLOOKUP("LULUCF|PM25|Premature mortality", US_national_yearly!$D:$AM, 34, FALSE) / VLOOKUP("LULUCF|PM25|Premature mortality", US_national_yearly!$D:$AM, 10, FALSE), 1)</f>
        <v>7.3326126595379439E-5</v>
      </c>
      <c r="AA2" s="7">
        <f>$B2 * IFERROR(VLOOKUP("LULUCF|PM25|Premature mortality", US_national_yearly!$D:$AM, 35, FALSE) / VLOOKUP("LULUCF|PM25|Premature mortality", US_national_yearly!$D:$AM, 10, FALSE), 1)</f>
        <v>7.3391738421451646E-5</v>
      </c>
      <c r="AB2" s="7">
        <f>$B2 * IFERROR(VLOOKUP("LULUCF|PM25|Premature mortality", US_national_yearly!$D:$AM, 36, FALSE) / VLOOKUP("LULUCF|PM25|Premature mortality", US_national_yearly!$D:$AM, 10, FALSE), 1)</f>
        <v>7.3457350247523839E-5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7.660258589369556E-8</v>
      </c>
      <c r="C3" s="7">
        <f>$B3 * IFERROR(VLOOKUP("LULUCF|PM25|Infant mortality", US_national_yearly!$D:$AM, 11, FALSE) / VLOOKUP("LULUCF|PM25|Infant mortality", US_national_yearly!$D:$AM, 10, FALSE), 1)</f>
        <v>7.5934681245060401E-8</v>
      </c>
      <c r="D3" s="7">
        <f>$B3 * IFERROR(VLOOKUP("LULUCF|PM25|Infant mortality", US_national_yearly!$D:$AM, 12, FALSE) / VLOOKUP("LULUCF|PM25|Infant mortality", US_national_yearly!$D:$AM, 10, FALSE), 1)</f>
        <v>7.526677659642523E-8</v>
      </c>
      <c r="E3" s="7">
        <f>$B3 * IFERROR(VLOOKUP("LULUCF|PM25|Infant mortality", US_national_yearly!$D:$AM, 13, FALSE) / VLOOKUP("LULUCF|PM25|Infant mortality", US_national_yearly!$D:$AM, 10, FALSE), 1)</f>
        <v>7.4598871947790071E-8</v>
      </c>
      <c r="F3" s="7">
        <f>$B3 * IFERROR(VLOOKUP("LULUCF|PM25|Infant mortality", US_national_yearly!$D:$AM, 14, FALSE) / VLOOKUP("LULUCF|PM25|Infant mortality", US_national_yearly!$D:$AM, 10, FALSE), 1)</f>
        <v>7.3930967299154899E-8</v>
      </c>
      <c r="G3" s="7">
        <f>$B3 * IFERROR(VLOOKUP("LULUCF|PM25|Infant mortality", US_national_yearly!$D:$AM, 15, FALSE) / VLOOKUP("LULUCF|PM25|Infant mortality", US_national_yearly!$D:$AM, 10, FALSE), 1)</f>
        <v>4.9168047965994019E-8</v>
      </c>
      <c r="H3" s="7">
        <f>$B3 * IFERROR(VLOOKUP("LULUCF|PM25|Infant mortality", US_national_yearly!$D:$AM, 16, FALSE) / VLOOKUP("LULUCF|PM25|Infant mortality", US_national_yearly!$D:$AM, 10, FALSE), 1)</f>
        <v>2.4405128632833122E-8</v>
      </c>
      <c r="I3" s="7">
        <f>$B3 * IFERROR(VLOOKUP("LULUCF|PM25|Infant mortality", US_national_yearly!$D:$AM, 17, FALSE) / VLOOKUP("LULUCF|PM25|Infant mortality", US_national_yearly!$D:$AM, 10, FALSE), 1)</f>
        <v>2.4245600803540233E-8</v>
      </c>
      <c r="J3" s="7">
        <f>$B3 * IFERROR(VLOOKUP("LULUCF|PM25|Infant mortality", US_national_yearly!$D:$AM, 18, FALSE) / VLOOKUP("LULUCF|PM25|Infant mortality", US_national_yearly!$D:$AM, 10, FALSE), 1)</f>
        <v>2.4086072974247338E-8</v>
      </c>
      <c r="K3" s="7">
        <f>$B3 * IFERROR(VLOOKUP("LULUCF|PM25|Infant mortality", US_national_yearly!$D:$AM, 19, FALSE) / VLOOKUP("LULUCF|PM25|Infant mortality", US_national_yearly!$D:$AM, 10, FALSE), 1)</f>
        <v>2.3926545144954446E-8</v>
      </c>
      <c r="L3" s="7">
        <f>$B3 * IFERROR(VLOOKUP("LULUCF|PM25|Infant mortality", US_national_yearly!$D:$AM, 20, FALSE) / VLOOKUP("LULUCF|PM25|Infant mortality", US_national_yearly!$D:$AM, 10, FALSE), 1)</f>
        <v>2.3767017315661557E-8</v>
      </c>
      <c r="M3" s="7">
        <f>$B3 * IFERROR(VLOOKUP("LULUCF|PM25|Infant mortality", US_national_yearly!$D:$AM, 21, FALSE) / VLOOKUP("LULUCF|PM25|Infant mortality", US_national_yearly!$D:$AM, 10, FALSE), 1)</f>
        <v>2.3607489486368669E-8</v>
      </c>
      <c r="N3" s="7">
        <f>$B3 * IFERROR(VLOOKUP("LULUCF|PM25|Infant mortality", US_national_yearly!$D:$AM, 22, FALSE) / VLOOKUP("LULUCF|PM25|Infant mortality", US_national_yearly!$D:$AM, 10, FALSE), 1)</f>
        <v>2.350728834811713E-8</v>
      </c>
      <c r="O3" s="7">
        <f>$B3 * IFERROR(VLOOKUP("LULUCF|PM25|Infant mortality", US_national_yearly!$D:$AM, 23, FALSE) / VLOOKUP("LULUCF|PM25|Infant mortality", US_national_yearly!$D:$AM, 10, FALSE), 1)</f>
        <v>2.3407087209865598E-8</v>
      </c>
      <c r="P3" s="7">
        <f>$B3 * IFERROR(VLOOKUP("LULUCF|PM25|Infant mortality", US_national_yearly!$D:$AM, 24, FALSE) / VLOOKUP("LULUCF|PM25|Infant mortality", US_national_yearly!$D:$AM, 10, FALSE), 1)</f>
        <v>2.330688607161406E-8</v>
      </c>
      <c r="Q3" s="7">
        <f>$B3 * IFERROR(VLOOKUP("LULUCF|PM25|Infant mortality", US_national_yearly!$D:$AM, 25, FALSE) / VLOOKUP("LULUCF|PM25|Infant mortality", US_national_yearly!$D:$AM, 10, FALSE), 1)</f>
        <v>2.3206684933362528E-8</v>
      </c>
      <c r="R3" s="7">
        <f>$B3 * IFERROR(VLOOKUP("LULUCF|PM25|Infant mortality", US_national_yearly!$D:$AM, 26, FALSE) / VLOOKUP("LULUCF|PM25|Infant mortality", US_national_yearly!$D:$AM, 10, FALSE), 1)</f>
        <v>2.3106483795110993E-8</v>
      </c>
      <c r="S3" s="7">
        <f>$B3 * IFERROR(VLOOKUP("LULUCF|PM25|Infant mortality", US_national_yearly!$D:$AM, 27, FALSE) / VLOOKUP("LULUCF|PM25|Infant mortality", US_national_yearly!$D:$AM, 10, FALSE), 1)</f>
        <v>2.2981581027507999E-8</v>
      </c>
      <c r="T3" s="7">
        <f>$B3 * IFERROR(VLOOKUP("LULUCF|PM25|Infant mortality", US_national_yearly!$D:$AM, 28, FALSE) / VLOOKUP("LULUCF|PM25|Infant mortality", US_national_yearly!$D:$AM, 10, FALSE), 1)</f>
        <v>2.2856678259905E-8</v>
      </c>
      <c r="U3" s="7">
        <f>$B3 * IFERROR(VLOOKUP("LULUCF|PM25|Infant mortality", US_national_yearly!$D:$AM, 29, FALSE) / VLOOKUP("LULUCF|PM25|Infant mortality", US_national_yearly!$D:$AM, 10, FALSE), 1)</f>
        <v>2.2731775492302007E-8</v>
      </c>
      <c r="V3" s="7">
        <f>$B3 * IFERROR(VLOOKUP("LULUCF|PM25|Infant mortality", US_national_yearly!$D:$AM, 30, FALSE) / VLOOKUP("LULUCF|PM25|Infant mortality", US_national_yearly!$D:$AM, 10, FALSE), 1)</f>
        <v>2.260687272469901E-8</v>
      </c>
      <c r="W3" s="7">
        <f>$B3 * IFERROR(VLOOKUP("LULUCF|PM25|Infant mortality", US_national_yearly!$D:$AM, 31, FALSE) / VLOOKUP("LULUCF|PM25|Infant mortality", US_national_yearly!$D:$AM, 10, FALSE), 1)</f>
        <v>2.2481969957096014E-8</v>
      </c>
      <c r="X3" s="7">
        <f>$B3 * IFERROR(VLOOKUP("LULUCF|PM25|Infant mortality", US_national_yearly!$D:$AM, 32, FALSE) / VLOOKUP("LULUCF|PM25|Infant mortality", US_national_yearly!$D:$AM, 10, FALSE), 1)</f>
        <v>2.2347309074989072E-8</v>
      </c>
      <c r="Y3" s="7">
        <f>$B3 * IFERROR(VLOOKUP("LULUCF|PM25|Infant mortality", US_national_yearly!$D:$AM, 33, FALSE) / VLOOKUP("LULUCF|PM25|Infant mortality", US_national_yearly!$D:$AM, 10, FALSE), 1)</f>
        <v>2.2212648192882123E-8</v>
      </c>
      <c r="Z3" s="7">
        <f>$B3 * IFERROR(VLOOKUP("LULUCF|PM25|Infant mortality", US_national_yearly!$D:$AM, 34, FALSE) / VLOOKUP("LULUCF|PM25|Infant mortality", US_national_yearly!$D:$AM, 10, FALSE), 1)</f>
        <v>2.2077987310775184E-8</v>
      </c>
      <c r="AA3" s="7">
        <f>$B3 * IFERROR(VLOOKUP("LULUCF|PM25|Infant mortality", US_national_yearly!$D:$AM, 35, FALSE) / VLOOKUP("LULUCF|PM25|Infant mortality", US_national_yearly!$D:$AM, 10, FALSE), 1)</f>
        <v>2.1943326428668239E-8</v>
      </c>
      <c r="AB3" s="7">
        <f>$B3 * IFERROR(VLOOKUP("LULUCF|PM25|Infant mortality", US_national_yearly!$D:$AM, 36, FALSE) / VLOOKUP("LULUCF|PM25|Infant mortality", US_national_yearly!$D:$AM, 10, FALSE), 1)</f>
        <v>2.18086655465613E-8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1.1193166684239234E-4</v>
      </c>
      <c r="C6" s="7">
        <f>$B6 * IFERROR(VLOOKUP("LULUCF|PM25|Asthma symptoms cough", US_national_yearly!$D:$AM, 11, FALSE) / VLOOKUP("LULUCF|PM25|Asthma symptoms cough", US_national_yearly!$D:$AM, 10, FALSE), 1)</f>
        <v>1.1193166684239234E-4</v>
      </c>
      <c r="D6" s="7">
        <f>$B6 * IFERROR(VLOOKUP("LULUCF|PM25|Asthma symptoms cough", US_national_yearly!$D:$AM, 12, FALSE) / VLOOKUP("LULUCF|PM25|Asthma symptoms cough", US_national_yearly!$D:$AM, 10, FALSE), 1)</f>
        <v>1.1193166684239234E-4</v>
      </c>
      <c r="E6" s="7">
        <f>$B6 * IFERROR(VLOOKUP("LULUCF|PM25|Asthma symptoms cough", US_national_yearly!$D:$AM, 13, FALSE) / VLOOKUP("LULUCF|PM25|Asthma symptoms cough", US_national_yearly!$D:$AM, 10, FALSE), 1)</f>
        <v>1.1193166684239234E-4</v>
      </c>
      <c r="F6" s="7">
        <f>$B6 * IFERROR(VLOOKUP("LULUCF|PM25|Asthma symptoms cough", US_national_yearly!$D:$AM, 14, FALSE) / VLOOKUP("LULUCF|PM25|Asthma symptoms cough", US_national_yearly!$D:$AM, 10, FALSE), 1)</f>
        <v>1.1193166684239234E-4</v>
      </c>
      <c r="G6" s="7">
        <f>$B6 * IFERROR(VLOOKUP("LULUCF|PM25|Asthma symptoms cough", US_national_yearly!$D:$AM, 15, FALSE) / VLOOKUP("LULUCF|PM25|Asthma symptoms cough", US_national_yearly!$D:$AM, 10, FALSE), 1)</f>
        <v>1.1193166684239234E-4</v>
      </c>
      <c r="H6" s="7">
        <f>$B6 * IFERROR(VLOOKUP("LULUCF|PM25|Asthma symptoms cough", US_national_yearly!$D:$AM, 16, FALSE) / VLOOKUP("LULUCF|PM25|Asthma symptoms cough", US_national_yearly!$D:$AM, 10, FALSE), 1)</f>
        <v>1.1193166684239234E-4</v>
      </c>
      <c r="I6" s="7">
        <f>$B6 * IFERROR(VLOOKUP("LULUCF|PM25|Asthma symptoms cough", US_national_yearly!$D:$AM, 17, FALSE) / VLOOKUP("LULUCF|PM25|Asthma symptoms cough", US_national_yearly!$D:$AM, 10, FALSE), 1)</f>
        <v>1.1193166684239234E-4</v>
      </c>
      <c r="J6" s="7">
        <f>$B6 * IFERROR(VLOOKUP("LULUCF|PM25|Asthma symptoms cough", US_national_yearly!$D:$AM, 18, FALSE) / VLOOKUP("LULUCF|PM25|Asthma symptoms cough", US_national_yearly!$D:$AM, 10, FALSE), 1)</f>
        <v>1.1193166684239234E-4</v>
      </c>
      <c r="K6" s="7">
        <f>$B6 * IFERROR(VLOOKUP("LULUCF|PM25|Asthma symptoms cough", US_national_yearly!$D:$AM, 19, FALSE) / VLOOKUP("LULUCF|PM25|Asthma symptoms cough", US_national_yearly!$D:$AM, 10, FALSE), 1)</f>
        <v>1.1193166684239234E-4</v>
      </c>
      <c r="L6" s="7">
        <f>$B6 * IFERROR(VLOOKUP("LULUCF|PM25|Asthma symptoms cough", US_national_yearly!$D:$AM, 20, FALSE) / VLOOKUP("LULUCF|PM25|Asthma symptoms cough", US_national_yearly!$D:$AM, 10, FALSE), 1)</f>
        <v>1.1193166684239234E-4</v>
      </c>
      <c r="M6" s="7">
        <f>$B6 * IFERROR(VLOOKUP("LULUCF|PM25|Asthma symptoms cough", US_national_yearly!$D:$AM, 21, FALSE) / VLOOKUP("LULUCF|PM25|Asthma symptoms cough", US_national_yearly!$D:$AM, 10, FALSE), 1)</f>
        <v>1.1193166684239234E-4</v>
      </c>
      <c r="N6" s="7">
        <f>$B6 * IFERROR(VLOOKUP("LULUCF|PM25|Asthma symptoms cough", US_national_yearly!$D:$AM, 22, FALSE) / VLOOKUP("LULUCF|PM25|Asthma symptoms cough", US_national_yearly!$D:$AM, 10, FALSE), 1)</f>
        <v>1.1193166684239234E-4</v>
      </c>
      <c r="O6" s="7">
        <f>$B6 * IFERROR(VLOOKUP("LULUCF|PM25|Asthma symptoms cough", US_national_yearly!$D:$AM, 23, FALSE) / VLOOKUP("LULUCF|PM25|Asthma symptoms cough", US_national_yearly!$D:$AM, 10, FALSE), 1)</f>
        <v>1.1193166684239234E-4</v>
      </c>
      <c r="P6" s="7">
        <f>$B6 * IFERROR(VLOOKUP("LULUCF|PM25|Asthma symptoms cough", US_national_yearly!$D:$AM, 24, FALSE) / VLOOKUP("LULUCF|PM25|Asthma symptoms cough", US_national_yearly!$D:$AM, 10, FALSE), 1)</f>
        <v>1.1193166684239234E-4</v>
      </c>
      <c r="Q6" s="7">
        <f>$B6 * IFERROR(VLOOKUP("LULUCF|PM25|Asthma symptoms cough", US_national_yearly!$D:$AM, 25, FALSE) / VLOOKUP("LULUCF|PM25|Asthma symptoms cough", US_national_yearly!$D:$AM, 10, FALSE), 1)</f>
        <v>1.1193166684239234E-4</v>
      </c>
      <c r="R6" s="7">
        <f>$B6 * IFERROR(VLOOKUP("LULUCF|PM25|Asthma symptoms cough", US_national_yearly!$D:$AM, 26, FALSE) / VLOOKUP("LULUCF|PM25|Asthma symptoms cough", US_national_yearly!$D:$AM, 10, FALSE), 1)</f>
        <v>1.1193166684239234E-4</v>
      </c>
      <c r="S6" s="7">
        <f>$B6 * IFERROR(VLOOKUP("LULUCF|PM25|Asthma symptoms cough", US_national_yearly!$D:$AM, 27, FALSE) / VLOOKUP("LULUCF|PM25|Asthma symptoms cough", US_national_yearly!$D:$AM, 10, FALSE), 1)</f>
        <v>1.1193166684239234E-4</v>
      </c>
      <c r="T6" s="7">
        <f>$B6 * IFERROR(VLOOKUP("LULUCF|PM25|Asthma symptoms cough", US_national_yearly!$D:$AM, 28, FALSE) / VLOOKUP("LULUCF|PM25|Asthma symptoms cough", US_national_yearly!$D:$AM, 10, FALSE), 1)</f>
        <v>1.1193166684239234E-4</v>
      </c>
      <c r="U6" s="7">
        <f>$B6 * IFERROR(VLOOKUP("LULUCF|PM25|Asthma symptoms cough", US_national_yearly!$D:$AM, 29, FALSE) / VLOOKUP("LULUCF|PM25|Asthma symptoms cough", US_national_yearly!$D:$AM, 10, FALSE), 1)</f>
        <v>1.1193166684239234E-4</v>
      </c>
      <c r="V6" s="7">
        <f>$B6 * IFERROR(VLOOKUP("LULUCF|PM25|Asthma symptoms cough", US_national_yearly!$D:$AM, 30, FALSE) / VLOOKUP("LULUCF|PM25|Asthma symptoms cough", US_national_yearly!$D:$AM, 10, FALSE), 1)</f>
        <v>1.1193166684239234E-4</v>
      </c>
      <c r="W6" s="7">
        <f>$B6 * IFERROR(VLOOKUP("LULUCF|PM25|Asthma symptoms cough", US_national_yearly!$D:$AM, 31, FALSE) / VLOOKUP("LULUCF|PM25|Asthma symptoms cough", US_national_yearly!$D:$AM, 10, FALSE), 1)</f>
        <v>1.1193166684239234E-4</v>
      </c>
      <c r="X6" s="7">
        <f>$B6 * IFERROR(VLOOKUP("LULUCF|PM25|Asthma symptoms cough", US_national_yearly!$D:$AM, 32, FALSE) / VLOOKUP("LULUCF|PM25|Asthma symptoms cough", US_national_yearly!$D:$AM, 10, FALSE), 1)</f>
        <v>1.1193166684239234E-4</v>
      </c>
      <c r="Y6" s="7">
        <f>$B6 * IFERROR(VLOOKUP("LULUCF|PM25|Asthma symptoms cough", US_national_yearly!$D:$AM, 33, FALSE) / VLOOKUP("LULUCF|PM25|Asthma symptoms cough", US_national_yearly!$D:$AM, 10, FALSE), 1)</f>
        <v>1.1193166684239234E-4</v>
      </c>
      <c r="Z6" s="7">
        <f>$B6 * IFERROR(VLOOKUP("LULUCF|PM25|Asthma symptoms cough", US_national_yearly!$D:$AM, 34, FALSE) / VLOOKUP("LULUCF|PM25|Asthma symptoms cough", US_national_yearly!$D:$AM, 10, FALSE), 1)</f>
        <v>1.1193166684239234E-4</v>
      </c>
      <c r="AA6" s="7">
        <f>$B6 * IFERROR(VLOOKUP("LULUCF|PM25|Asthma symptoms cough", US_national_yearly!$D:$AM, 35, FALSE) / VLOOKUP("LULUCF|PM25|Asthma symptoms cough", US_national_yearly!$D:$AM, 10, FALSE), 1)</f>
        <v>1.1193166684239234E-4</v>
      </c>
      <c r="AB6" s="7">
        <f>$B6 * IFERROR(VLOOKUP("LULUCF|PM25|Asthma symptoms cough", US_national_yearly!$D:$AM, 36, FALSE) / VLOOKUP("LULUCF|PM25|Asthma symptoms cough", US_national_yearly!$D:$AM, 10, FALSE), 1)</f>
        <v>1.1193166684239234E-4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1.5073236043421998E-4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1.5073236043421998E-4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1.5073236043421998E-4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1.5073236043421998E-4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1.5073236043421998E-4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1.5073236043421998E-4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1.5073236043421998E-4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1.5073236043421998E-4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1.5073236043421998E-4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1.5073236043421998E-4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1.5073236043421998E-4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1.5073236043421998E-4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1.5073236043421998E-4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1.5073236043421998E-4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1.5073236043421998E-4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1.5073236043421998E-4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1.5073236043421998E-4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1.5073236043421998E-4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1.5073236043421998E-4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1.5073236043421998E-4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1.5073236043421998E-4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1.5073236043421998E-4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1.5073236043421998E-4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1.5073236043421998E-4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1.5073236043421998E-4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1.5073236043421998E-4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1.5073236043421998E-4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2.3029304156537683E-4</v>
      </c>
      <c r="C8" s="7">
        <f>$B8 * IFERROR(VLOOKUP("LULUCF|PM25|Asthma symptoms wheeze", US_national_yearly!$D:$AM, 11, FALSE) / VLOOKUP("LULUCF|PM25|Asthma symptoms wheeze", US_national_yearly!$D:$AM, 10, FALSE), 1)</f>
        <v>2.3029304156537683E-4</v>
      </c>
      <c r="D8" s="7">
        <f>$B8 * IFERROR(VLOOKUP("LULUCF|PM25|Asthma symptoms wheeze", US_national_yearly!$D:$AM, 12, FALSE) / VLOOKUP("LULUCF|PM25|Asthma symptoms wheeze", US_national_yearly!$D:$AM, 10, FALSE), 1)</f>
        <v>2.3029304156537683E-4</v>
      </c>
      <c r="E8" s="7">
        <f>$B8 * IFERROR(VLOOKUP("LULUCF|PM25|Asthma symptoms wheeze", US_national_yearly!$D:$AM, 13, FALSE) / VLOOKUP("LULUCF|PM25|Asthma symptoms wheeze", US_national_yearly!$D:$AM, 10, FALSE), 1)</f>
        <v>2.3029304156537683E-4</v>
      </c>
      <c r="F8" s="7">
        <f>$B8 * IFERROR(VLOOKUP("LULUCF|PM25|Asthma symptoms wheeze", US_national_yearly!$D:$AM, 14, FALSE) / VLOOKUP("LULUCF|PM25|Asthma symptoms wheeze", US_national_yearly!$D:$AM, 10, FALSE), 1)</f>
        <v>2.3029304156537683E-4</v>
      </c>
      <c r="G8" s="7">
        <f>$B8 * IFERROR(VLOOKUP("LULUCF|PM25|Asthma symptoms wheeze", US_national_yearly!$D:$AM, 15, FALSE) / VLOOKUP("LULUCF|PM25|Asthma symptoms wheeze", US_national_yearly!$D:$AM, 10, FALSE), 1)</f>
        <v>2.3029304156537683E-4</v>
      </c>
      <c r="H8" s="7">
        <f>$B8 * IFERROR(VLOOKUP("LULUCF|PM25|Asthma symptoms wheeze", US_national_yearly!$D:$AM, 16, FALSE) / VLOOKUP("LULUCF|PM25|Asthma symptoms wheeze", US_national_yearly!$D:$AM, 10, FALSE), 1)</f>
        <v>2.3029304156537683E-4</v>
      </c>
      <c r="I8" s="7">
        <f>$B8 * IFERROR(VLOOKUP("LULUCF|PM25|Asthma symptoms wheeze", US_national_yearly!$D:$AM, 17, FALSE) / VLOOKUP("LULUCF|PM25|Asthma symptoms wheeze", US_national_yearly!$D:$AM, 10, FALSE), 1)</f>
        <v>2.3029304156537683E-4</v>
      </c>
      <c r="J8" s="7">
        <f>$B8 * IFERROR(VLOOKUP("LULUCF|PM25|Asthma symptoms wheeze", US_national_yearly!$D:$AM, 18, FALSE) / VLOOKUP("LULUCF|PM25|Asthma symptoms wheeze", US_national_yearly!$D:$AM, 10, FALSE), 1)</f>
        <v>2.3029304156537683E-4</v>
      </c>
      <c r="K8" s="7">
        <f>$B8 * IFERROR(VLOOKUP("LULUCF|PM25|Asthma symptoms wheeze", US_national_yearly!$D:$AM, 19, FALSE) / VLOOKUP("LULUCF|PM25|Asthma symptoms wheeze", US_national_yearly!$D:$AM, 10, FALSE), 1)</f>
        <v>2.3029304156537683E-4</v>
      </c>
      <c r="L8" s="7">
        <f>$B8 * IFERROR(VLOOKUP("LULUCF|PM25|Asthma symptoms wheeze", US_national_yearly!$D:$AM, 20, FALSE) / VLOOKUP("LULUCF|PM25|Asthma symptoms wheeze", US_national_yearly!$D:$AM, 10, FALSE), 1)</f>
        <v>2.3029304156537683E-4</v>
      </c>
      <c r="M8" s="7">
        <f>$B8 * IFERROR(VLOOKUP("LULUCF|PM25|Asthma symptoms wheeze", US_national_yearly!$D:$AM, 21, FALSE) / VLOOKUP("LULUCF|PM25|Asthma symptoms wheeze", US_national_yearly!$D:$AM, 10, FALSE), 1)</f>
        <v>2.3029304156537683E-4</v>
      </c>
      <c r="N8" s="7">
        <f>$B8 * IFERROR(VLOOKUP("LULUCF|PM25|Asthma symptoms wheeze", US_national_yearly!$D:$AM, 22, FALSE) / VLOOKUP("LULUCF|PM25|Asthma symptoms wheeze", US_national_yearly!$D:$AM, 10, FALSE), 1)</f>
        <v>2.3029304156537683E-4</v>
      </c>
      <c r="O8" s="7">
        <f>$B8 * IFERROR(VLOOKUP("LULUCF|PM25|Asthma symptoms wheeze", US_national_yearly!$D:$AM, 23, FALSE) / VLOOKUP("LULUCF|PM25|Asthma symptoms wheeze", US_national_yearly!$D:$AM, 10, FALSE), 1)</f>
        <v>2.3029304156537683E-4</v>
      </c>
      <c r="P8" s="7">
        <f>$B8 * IFERROR(VLOOKUP("LULUCF|PM25|Asthma symptoms wheeze", US_national_yearly!$D:$AM, 24, FALSE) / VLOOKUP("LULUCF|PM25|Asthma symptoms wheeze", US_national_yearly!$D:$AM, 10, FALSE), 1)</f>
        <v>2.3029304156537683E-4</v>
      </c>
      <c r="Q8" s="7">
        <f>$B8 * IFERROR(VLOOKUP("LULUCF|PM25|Asthma symptoms wheeze", US_national_yearly!$D:$AM, 25, FALSE) / VLOOKUP("LULUCF|PM25|Asthma symptoms wheeze", US_national_yearly!$D:$AM, 10, FALSE), 1)</f>
        <v>2.3029304156537683E-4</v>
      </c>
      <c r="R8" s="7">
        <f>$B8 * IFERROR(VLOOKUP("LULUCF|PM25|Asthma symptoms wheeze", US_national_yearly!$D:$AM, 26, FALSE) / VLOOKUP("LULUCF|PM25|Asthma symptoms wheeze", US_national_yearly!$D:$AM, 10, FALSE), 1)</f>
        <v>2.3029304156537683E-4</v>
      </c>
      <c r="S8" s="7">
        <f>$B8 * IFERROR(VLOOKUP("LULUCF|PM25|Asthma symptoms wheeze", US_national_yearly!$D:$AM, 27, FALSE) / VLOOKUP("LULUCF|PM25|Asthma symptoms wheeze", US_national_yearly!$D:$AM, 10, FALSE), 1)</f>
        <v>2.3029304156537683E-4</v>
      </c>
      <c r="T8" s="7">
        <f>$B8 * IFERROR(VLOOKUP("LULUCF|PM25|Asthma symptoms wheeze", US_national_yearly!$D:$AM, 28, FALSE) / VLOOKUP("LULUCF|PM25|Asthma symptoms wheeze", US_national_yearly!$D:$AM, 10, FALSE), 1)</f>
        <v>2.3029304156537683E-4</v>
      </c>
      <c r="U8" s="7">
        <f>$B8 * IFERROR(VLOOKUP("LULUCF|PM25|Asthma symptoms wheeze", US_national_yearly!$D:$AM, 29, FALSE) / VLOOKUP("LULUCF|PM25|Asthma symptoms wheeze", US_national_yearly!$D:$AM, 10, FALSE), 1)</f>
        <v>2.3029304156537683E-4</v>
      </c>
      <c r="V8" s="7">
        <f>$B8 * IFERROR(VLOOKUP("LULUCF|PM25|Asthma symptoms wheeze", US_national_yearly!$D:$AM, 30, FALSE) / VLOOKUP("LULUCF|PM25|Asthma symptoms wheeze", US_national_yearly!$D:$AM, 10, FALSE), 1)</f>
        <v>2.3029304156537683E-4</v>
      </c>
      <c r="W8" s="7">
        <f>$B8 * IFERROR(VLOOKUP("LULUCF|PM25|Asthma symptoms wheeze", US_national_yearly!$D:$AM, 31, FALSE) / VLOOKUP("LULUCF|PM25|Asthma symptoms wheeze", US_national_yearly!$D:$AM, 10, FALSE), 1)</f>
        <v>2.3029304156537683E-4</v>
      </c>
      <c r="X8" s="7">
        <f>$B8 * IFERROR(VLOOKUP("LULUCF|PM25|Asthma symptoms wheeze", US_national_yearly!$D:$AM, 32, FALSE) / VLOOKUP("LULUCF|PM25|Asthma symptoms wheeze", US_national_yearly!$D:$AM, 10, FALSE), 1)</f>
        <v>2.3029304156537683E-4</v>
      </c>
      <c r="Y8" s="7">
        <f>$B8 * IFERROR(VLOOKUP("LULUCF|PM25|Asthma symptoms wheeze", US_national_yearly!$D:$AM, 33, FALSE) / VLOOKUP("LULUCF|PM25|Asthma symptoms wheeze", US_national_yearly!$D:$AM, 10, FALSE), 1)</f>
        <v>2.3029304156537683E-4</v>
      </c>
      <c r="Z8" s="7">
        <f>$B8 * IFERROR(VLOOKUP("LULUCF|PM25|Asthma symptoms wheeze", US_national_yearly!$D:$AM, 34, FALSE) / VLOOKUP("LULUCF|PM25|Asthma symptoms wheeze", US_national_yearly!$D:$AM, 10, FALSE), 1)</f>
        <v>2.3029304156537683E-4</v>
      </c>
      <c r="AA8" s="7">
        <f>$B8 * IFERROR(VLOOKUP("LULUCF|PM25|Asthma symptoms wheeze", US_national_yearly!$D:$AM, 35, FALSE) / VLOOKUP("LULUCF|PM25|Asthma symptoms wheeze", US_national_yearly!$D:$AM, 10, FALSE), 1)</f>
        <v>2.3029304156537683E-4</v>
      </c>
      <c r="AB8" s="7">
        <f>$B8 * IFERROR(VLOOKUP("LULUCF|PM25|Asthma symptoms wheeze", US_national_yearly!$D:$AM, 36, FALSE) / VLOOKUP("LULUCF|PM25|Asthma symptoms wheeze", US_national_yearly!$D:$AM, 10, FALSE), 1)</f>
        <v>2.3029304156537683E-4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4.2538223823842954E-6</v>
      </c>
      <c r="C12" s="7">
        <f>$B12 * IFERROR(VLOOKUP("LULUCF|PM25|Respiratory hospital admissions", US_national_yearly!$D:$AM, 11, FALSE) / VLOOKUP("LULUCF|PM25|Respiratory hospital admissions", US_national_yearly!$D:$AM, 10, FALSE), 1)</f>
        <v>4.2782035777474368E-6</v>
      </c>
      <c r="D12" s="7">
        <f>$B12 * IFERROR(VLOOKUP("LULUCF|PM25|Respiratory hospital admissions", US_national_yearly!$D:$AM, 12, FALSE) / VLOOKUP("LULUCF|PM25|Respiratory hospital admissions", US_national_yearly!$D:$AM, 10, FALSE), 1)</f>
        <v>4.3025847731105766E-6</v>
      </c>
      <c r="E12" s="7">
        <f>$B12 * IFERROR(VLOOKUP("LULUCF|PM25|Respiratory hospital admissions", US_national_yearly!$D:$AM, 13, FALSE) / VLOOKUP("LULUCF|PM25|Respiratory hospital admissions", US_national_yearly!$D:$AM, 10, FALSE), 1)</f>
        <v>4.326965968473718E-6</v>
      </c>
      <c r="F12" s="7">
        <f>$B12 * IFERROR(VLOOKUP("LULUCF|PM25|Respiratory hospital admissions", US_national_yearly!$D:$AM, 14, FALSE) / VLOOKUP("LULUCF|PM25|Respiratory hospital admissions", US_national_yearly!$D:$AM, 10, FALSE), 1)</f>
        <v>4.3513471638368586E-6</v>
      </c>
      <c r="G12" s="7">
        <f>$B12 * IFERROR(VLOOKUP("LULUCF|PM25|Respiratory hospital admissions", US_national_yearly!$D:$AM, 15, FALSE) / VLOOKUP("LULUCF|PM25|Respiratory hospital admissions", US_national_yearly!$D:$AM, 10, FALSE), 1)</f>
        <v>4.3776798948156603E-6</v>
      </c>
      <c r="H12" s="7">
        <f>$B12 * IFERROR(VLOOKUP("LULUCF|PM25|Respiratory hospital admissions", US_national_yearly!$D:$AM, 16, FALSE) / VLOOKUP("LULUCF|PM25|Respiratory hospital admissions", US_national_yearly!$D:$AM, 10, FALSE), 1)</f>
        <v>4.4040126257944619E-6</v>
      </c>
      <c r="I12" s="7">
        <f>$B12 * IFERROR(VLOOKUP("LULUCF|PM25|Respiratory hospital admissions", US_national_yearly!$D:$AM, 17, FALSE) / VLOOKUP("LULUCF|PM25|Respiratory hospital admissions", US_national_yearly!$D:$AM, 10, FALSE), 1)</f>
        <v>4.4291725497717768E-6</v>
      </c>
      <c r="J12" s="7">
        <f>$B12 * IFERROR(VLOOKUP("LULUCF|PM25|Respiratory hospital admissions", US_national_yearly!$D:$AM, 18, FALSE) / VLOOKUP("LULUCF|PM25|Respiratory hospital admissions", US_national_yearly!$D:$AM, 10, FALSE), 1)</f>
        <v>4.4543324737490933E-6</v>
      </c>
      <c r="K12" s="7">
        <f>$B12 * IFERROR(VLOOKUP("LULUCF|PM25|Respiratory hospital admissions", US_national_yearly!$D:$AM, 19, FALSE) / VLOOKUP("LULUCF|PM25|Respiratory hospital admissions", US_national_yearly!$D:$AM, 10, FALSE), 1)</f>
        <v>4.4794923977264098E-6</v>
      </c>
      <c r="L12" s="7">
        <f>$B12 * IFERROR(VLOOKUP("LULUCF|PM25|Respiratory hospital admissions", US_national_yearly!$D:$AM, 20, FALSE) / VLOOKUP("LULUCF|PM25|Respiratory hospital admissions", US_national_yearly!$D:$AM, 10, FALSE), 1)</f>
        <v>4.5046523217037264E-6</v>
      </c>
      <c r="M12" s="7">
        <f>$B12 * IFERROR(VLOOKUP("LULUCF|PM25|Respiratory hospital admissions", US_national_yearly!$D:$AM, 21, FALSE) / VLOOKUP("LULUCF|PM25|Respiratory hospital admissions", US_national_yearly!$D:$AM, 10, FALSE), 1)</f>
        <v>4.5298122456810412E-6</v>
      </c>
      <c r="N12" s="7">
        <f>$B12 * IFERROR(VLOOKUP("LULUCF|PM25|Respiratory hospital admissions", US_national_yearly!$D:$AM, 22, FALSE) / VLOOKUP("LULUCF|PM25|Respiratory hospital admissions", US_national_yearly!$D:$AM, 10, FALSE), 1)</f>
        <v>4.5478702573321607E-6</v>
      </c>
      <c r="O12" s="7">
        <f>$B12 * IFERROR(VLOOKUP("LULUCF|PM25|Respiratory hospital admissions", US_national_yearly!$D:$AM, 23, FALSE) / VLOOKUP("LULUCF|PM25|Respiratory hospital admissions", US_national_yearly!$D:$AM, 10, FALSE), 1)</f>
        <v>4.5659282689832793E-6</v>
      </c>
      <c r="P12" s="7">
        <f>$B12 * IFERROR(VLOOKUP("LULUCF|PM25|Respiratory hospital admissions", US_national_yearly!$D:$AM, 24, FALSE) / VLOOKUP("LULUCF|PM25|Respiratory hospital admissions", US_national_yearly!$D:$AM, 10, FALSE), 1)</f>
        <v>4.583986280634397E-6</v>
      </c>
      <c r="Q12" s="7">
        <f>$B12 * IFERROR(VLOOKUP("LULUCF|PM25|Respiratory hospital admissions", US_national_yearly!$D:$AM, 25, FALSE) / VLOOKUP("LULUCF|PM25|Respiratory hospital admissions", US_national_yearly!$D:$AM, 10, FALSE), 1)</f>
        <v>4.6020442922855156E-6</v>
      </c>
      <c r="R12" s="7">
        <f>$B12 * IFERROR(VLOOKUP("LULUCF|PM25|Respiratory hospital admissions", US_national_yearly!$D:$AM, 26, FALSE) / VLOOKUP("LULUCF|PM25|Respiratory hospital admissions", US_national_yearly!$D:$AM, 10, FALSE), 1)</f>
        <v>4.6201023039366351E-6</v>
      </c>
      <c r="S12" s="7">
        <f>$B12 * IFERROR(VLOOKUP("LULUCF|PM25|Respiratory hospital admissions", US_national_yearly!$D:$AM, 27, FALSE) / VLOOKUP("LULUCF|PM25|Respiratory hospital admissions", US_national_yearly!$D:$AM, 10, FALSE), 1)</f>
        <v>4.6372959104942338E-6</v>
      </c>
      <c r="T12" s="7">
        <f>$B12 * IFERROR(VLOOKUP("LULUCF|PM25|Respiratory hospital admissions", US_national_yearly!$D:$AM, 28, FALSE) / VLOOKUP("LULUCF|PM25|Respiratory hospital admissions", US_national_yearly!$D:$AM, 10, FALSE), 1)</f>
        <v>4.6544895170518334E-6</v>
      </c>
      <c r="U12" s="7">
        <f>$B12 * IFERROR(VLOOKUP("LULUCF|PM25|Respiratory hospital admissions", US_national_yearly!$D:$AM, 29, FALSE) / VLOOKUP("LULUCF|PM25|Respiratory hospital admissions", US_national_yearly!$D:$AM, 10, FALSE), 1)</f>
        <v>4.6716831236094313E-6</v>
      </c>
      <c r="V12" s="7">
        <f>$B12 * IFERROR(VLOOKUP("LULUCF|PM25|Respiratory hospital admissions", US_national_yearly!$D:$AM, 30, FALSE) / VLOOKUP("LULUCF|PM25|Respiratory hospital admissions", US_national_yearly!$D:$AM, 10, FALSE), 1)</f>
        <v>4.68887673016703E-6</v>
      </c>
      <c r="W12" s="7">
        <f>$B12 * IFERROR(VLOOKUP("LULUCF|PM25|Respiratory hospital admissions", US_national_yearly!$D:$AM, 31, FALSE) / VLOOKUP("LULUCF|PM25|Respiratory hospital admissions", US_national_yearly!$D:$AM, 10, FALSE), 1)</f>
        <v>4.7060703367246287E-6</v>
      </c>
      <c r="X12" s="7">
        <f>$B12 * IFERROR(VLOOKUP("LULUCF|PM25|Respiratory hospital admissions", US_national_yearly!$D:$AM, 32, FALSE) / VLOOKUP("LULUCF|PM25|Respiratory hospital admissions", US_national_yearly!$D:$AM, 10, FALSE), 1)</f>
        <v>4.7226108055576099E-6</v>
      </c>
      <c r="Y12" s="7">
        <f>$B12 * IFERROR(VLOOKUP("LULUCF|PM25|Respiratory hospital admissions", US_national_yearly!$D:$AM, 33, FALSE) / VLOOKUP("LULUCF|PM25|Respiratory hospital admissions", US_national_yearly!$D:$AM, 10, FALSE), 1)</f>
        <v>4.7391512743905893E-6</v>
      </c>
      <c r="Z12" s="7">
        <f>$B12 * IFERROR(VLOOKUP("LULUCF|PM25|Respiratory hospital admissions", US_national_yearly!$D:$AM, 34, FALSE) / VLOOKUP("LULUCF|PM25|Respiratory hospital admissions", US_national_yearly!$D:$AM, 10, FALSE), 1)</f>
        <v>4.7556917432235695E-6</v>
      </c>
      <c r="AA12" s="7">
        <f>$B12 * IFERROR(VLOOKUP("LULUCF|PM25|Respiratory hospital admissions", US_national_yearly!$D:$AM, 35, FALSE) / VLOOKUP("LULUCF|PM25|Respiratory hospital admissions", US_national_yearly!$D:$AM, 10, FALSE), 1)</f>
        <v>4.772232212056549E-6</v>
      </c>
      <c r="AB12" s="7">
        <f>$B12 * IFERROR(VLOOKUP("LULUCF|PM25|Respiratory hospital admissions", US_national_yearly!$D:$AM, 36, FALSE) / VLOOKUP("LULUCF|PM25|Respiratory hospital admissions", US_national_yearly!$D:$AM, 10, FALSE), 1)</f>
        <v>4.7887726808895292E-6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2.4870151531324815E-5</v>
      </c>
      <c r="C13" s="7">
        <f>$B13 * IFERROR(VLOOKUP("LULUCF|PM25|Non-fatal heart attacks", US_national_yearly!$D:$AM, 11, FALSE) / VLOOKUP("LULUCF|PM25|Non-fatal heart attacks", US_national_yearly!$D:$AM, 10, FALSE), 1)</f>
        <v>2.5593192834169145E-5</v>
      </c>
      <c r="D13" s="7">
        <f>$B13 * IFERROR(VLOOKUP("LULUCF|PM25|Non-fatal heart attacks", US_national_yearly!$D:$AM, 12, FALSE) / VLOOKUP("LULUCF|PM25|Non-fatal heart attacks", US_national_yearly!$D:$AM, 10, FALSE), 1)</f>
        <v>2.6316234137013475E-5</v>
      </c>
      <c r="E13" s="7">
        <f>$B13 * IFERROR(VLOOKUP("LULUCF|PM25|Non-fatal heart attacks", US_national_yearly!$D:$AM, 13, FALSE) / VLOOKUP("LULUCF|PM25|Non-fatal heart attacks", US_national_yearly!$D:$AM, 10, FALSE), 1)</f>
        <v>2.7039275439857798E-5</v>
      </c>
      <c r="F13" s="7">
        <f>$B13 * IFERROR(VLOOKUP("LULUCF|PM25|Non-fatal heart attacks", US_national_yearly!$D:$AM, 14, FALSE) / VLOOKUP("LULUCF|PM25|Non-fatal heart attacks", US_national_yearly!$D:$AM, 10, FALSE), 1)</f>
        <v>2.7762316742702135E-5</v>
      </c>
      <c r="G13" s="7">
        <f>$B13 * IFERROR(VLOOKUP("LULUCF|PM25|Non-fatal heart attacks", US_national_yearly!$D:$AM, 15, FALSE) / VLOOKUP("LULUCF|PM25|Non-fatal heart attacks", US_national_yearly!$D:$AM, 10, FALSE), 1)</f>
        <v>2.8444190401069322E-5</v>
      </c>
      <c r="H13" s="7">
        <f>$B13 * IFERROR(VLOOKUP("LULUCF|PM25|Non-fatal heart attacks", US_national_yearly!$D:$AM, 16, FALSE) / VLOOKUP("LULUCF|PM25|Non-fatal heart attacks", US_national_yearly!$D:$AM, 10, FALSE), 1)</f>
        <v>2.9126064059436502E-5</v>
      </c>
      <c r="I13" s="7">
        <f>$B13 * IFERROR(VLOOKUP("LULUCF|PM25|Non-fatal heart attacks", US_national_yearly!$D:$AM, 17, FALSE) / VLOOKUP("LULUCF|PM25|Non-fatal heart attacks", US_national_yearly!$D:$AM, 10, FALSE), 1)</f>
        <v>2.9674063583890714E-5</v>
      </c>
      <c r="J13" s="7">
        <f>$B13 * IFERROR(VLOOKUP("LULUCF|PM25|Non-fatal heart attacks", US_national_yearly!$D:$AM, 18, FALSE) / VLOOKUP("LULUCF|PM25|Non-fatal heart attacks", US_national_yearly!$D:$AM, 10, FALSE), 1)</f>
        <v>3.0222063108344928E-5</v>
      </c>
      <c r="K13" s="7">
        <f>$B13 * IFERROR(VLOOKUP("LULUCF|PM25|Non-fatal heart attacks", US_national_yearly!$D:$AM, 19, FALSE) / VLOOKUP("LULUCF|PM25|Non-fatal heart attacks", US_national_yearly!$D:$AM, 10, FALSE), 1)</f>
        <v>3.0770062632799146E-5</v>
      </c>
      <c r="L13" s="7">
        <f>$B13 * IFERROR(VLOOKUP("LULUCF|PM25|Non-fatal heart attacks", US_national_yearly!$D:$AM, 20, FALSE) / VLOOKUP("LULUCF|PM25|Non-fatal heart attacks", US_national_yearly!$D:$AM, 10, FALSE), 1)</f>
        <v>3.1318062157253364E-5</v>
      </c>
      <c r="M13" s="7">
        <f>$B13 * IFERROR(VLOOKUP("LULUCF|PM25|Non-fatal heart attacks", US_national_yearly!$D:$AM, 21, FALSE) / VLOOKUP("LULUCF|PM25|Non-fatal heart attacks", US_national_yearly!$D:$AM, 10, FALSE), 1)</f>
        <v>3.1866061681707582E-5</v>
      </c>
      <c r="N13" s="7">
        <f>$B13 * IFERROR(VLOOKUP("LULUCF|PM25|Non-fatal heart attacks", US_national_yearly!$D:$AM, 22, FALSE) / VLOOKUP("LULUCF|PM25|Non-fatal heart attacks", US_national_yearly!$D:$AM, 10, FALSE), 1)</f>
        <v>3.2219467262504647E-5</v>
      </c>
      <c r="O13" s="7">
        <f>$B13 * IFERROR(VLOOKUP("LULUCF|PM25|Non-fatal heart attacks", US_national_yearly!$D:$AM, 23, FALSE) / VLOOKUP("LULUCF|PM25|Non-fatal heart attacks", US_national_yearly!$D:$AM, 10, FALSE), 1)</f>
        <v>3.2572872843301711E-5</v>
      </c>
      <c r="P13" s="7">
        <f>$B13 * IFERROR(VLOOKUP("LULUCF|PM25|Non-fatal heart attacks", US_national_yearly!$D:$AM, 24, FALSE) / VLOOKUP("LULUCF|PM25|Non-fatal heart attacks", US_national_yearly!$D:$AM, 10, FALSE), 1)</f>
        <v>3.2926278424098782E-5</v>
      </c>
      <c r="Q13" s="7">
        <f>$B13 * IFERROR(VLOOKUP("LULUCF|PM25|Non-fatal heart attacks", US_national_yearly!$D:$AM, 25, FALSE) / VLOOKUP("LULUCF|PM25|Non-fatal heart attacks", US_national_yearly!$D:$AM, 10, FALSE), 1)</f>
        <v>3.3279684004895846E-5</v>
      </c>
      <c r="R13" s="7">
        <f>$B13 * IFERROR(VLOOKUP("LULUCF|PM25|Non-fatal heart attacks", US_national_yearly!$D:$AM, 26, FALSE) / VLOOKUP("LULUCF|PM25|Non-fatal heart attacks", US_national_yearly!$D:$AM, 10, FALSE), 1)</f>
        <v>3.363308958569291E-5</v>
      </c>
      <c r="S13" s="7">
        <f>$B13 * IFERROR(VLOOKUP("LULUCF|PM25|Non-fatal heart attacks", US_national_yearly!$D:$AM, 27, FALSE) / VLOOKUP("LULUCF|PM25|Non-fatal heart attacks", US_national_yearly!$D:$AM, 10, FALSE), 1)</f>
        <v>3.3819203061261032E-5</v>
      </c>
      <c r="T13" s="7">
        <f>$B13 * IFERROR(VLOOKUP("LULUCF|PM25|Non-fatal heart attacks", US_national_yearly!$D:$AM, 28, FALSE) / VLOOKUP("LULUCF|PM25|Non-fatal heart attacks", US_national_yearly!$D:$AM, 10, FALSE), 1)</f>
        <v>3.4005316536829168E-5</v>
      </c>
      <c r="U13" s="7">
        <f>$B13 * IFERROR(VLOOKUP("LULUCF|PM25|Non-fatal heart attacks", US_national_yearly!$D:$AM, 29, FALSE) / VLOOKUP("LULUCF|PM25|Non-fatal heart attacks", US_national_yearly!$D:$AM, 10, FALSE), 1)</f>
        <v>3.4191430012397298E-5</v>
      </c>
      <c r="V13" s="7">
        <f>$B13 * IFERROR(VLOOKUP("LULUCF|PM25|Non-fatal heart attacks", US_national_yearly!$D:$AM, 30, FALSE) / VLOOKUP("LULUCF|PM25|Non-fatal heart attacks", US_national_yearly!$D:$AM, 10, FALSE), 1)</f>
        <v>3.4377543487965427E-5</v>
      </c>
      <c r="W13" s="7">
        <f>$B13 * IFERROR(VLOOKUP("LULUCF|PM25|Non-fatal heart attacks", US_national_yearly!$D:$AM, 31, FALSE) / VLOOKUP("LULUCF|PM25|Non-fatal heart attacks", US_national_yearly!$D:$AM, 10, FALSE), 1)</f>
        <v>3.4563656963533556E-5</v>
      </c>
      <c r="X13" s="7">
        <f>$B13 * IFERROR(VLOOKUP("LULUCF|PM25|Non-fatal heart attacks", US_national_yearly!$D:$AM, 32, FALSE) / VLOOKUP("LULUCF|PM25|Non-fatal heart attacks", US_national_yearly!$D:$AM, 10, FALSE), 1)</f>
        <v>3.4704944002945243E-5</v>
      </c>
      <c r="Y13" s="7">
        <f>$B13 * IFERROR(VLOOKUP("LULUCF|PM25|Non-fatal heart attacks", US_national_yearly!$D:$AM, 33, FALSE) / VLOOKUP("LULUCF|PM25|Non-fatal heart attacks", US_national_yearly!$D:$AM, 10, FALSE), 1)</f>
        <v>3.4846231042356943E-5</v>
      </c>
      <c r="Z13" s="7">
        <f>$B13 * IFERROR(VLOOKUP("LULUCF|PM25|Non-fatal heart attacks", US_national_yearly!$D:$AM, 34, FALSE) / VLOOKUP("LULUCF|PM25|Non-fatal heart attacks", US_national_yearly!$D:$AM, 10, FALSE), 1)</f>
        <v>3.4987518081768637E-5</v>
      </c>
      <c r="AA13" s="7">
        <f>$B13 * IFERROR(VLOOKUP("LULUCF|PM25|Non-fatal heart attacks", US_national_yearly!$D:$AM, 35, FALSE) / VLOOKUP("LULUCF|PM25|Non-fatal heart attacks", US_national_yearly!$D:$AM, 10, FALSE), 1)</f>
        <v>3.512880512118033E-5</v>
      </c>
      <c r="AB13" s="7">
        <f>$B13 * IFERROR(VLOOKUP("LULUCF|PM25|Non-fatal heart attacks", US_national_yearly!$D:$AM, 36, FALSE) / VLOOKUP("LULUCF|PM25|Non-fatal heart attacks", US_national_yearly!$D:$AM, 10, FALSE), 1)</f>
        <v>3.5270092160592024E-5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1.6494509836789493E-2</v>
      </c>
      <c r="C14" s="7">
        <f>$B14 * IFERROR(VLOOKUP("LULUCF|PM25|Minor restricted activity days", US_national_yearly!$D:$AM, 11, FALSE) / VLOOKUP("LULUCF|PM25|Minor restricted activity days", US_national_yearly!$D:$AM, 10, FALSE), 1)</f>
        <v>1.6534791385909433E-2</v>
      </c>
      <c r="D14" s="7">
        <f>$B14 * IFERROR(VLOOKUP("LULUCF|PM25|Minor restricted activity days", US_national_yearly!$D:$AM, 12, FALSE) / VLOOKUP("LULUCF|PM25|Minor restricted activity days", US_national_yearly!$D:$AM, 10, FALSE), 1)</f>
        <v>1.6575072935029373E-2</v>
      </c>
      <c r="E14" s="7">
        <f>$B14 * IFERROR(VLOOKUP("LULUCF|PM25|Minor restricted activity days", US_national_yearly!$D:$AM, 13, FALSE) / VLOOKUP("LULUCF|PM25|Minor restricted activity days", US_national_yearly!$D:$AM, 10, FALSE), 1)</f>
        <v>1.6615354484149317E-2</v>
      </c>
      <c r="F14" s="7">
        <f>$B14 * IFERROR(VLOOKUP("LULUCF|PM25|Minor restricted activity days", US_national_yearly!$D:$AM, 14, FALSE) / VLOOKUP("LULUCF|PM25|Minor restricted activity days", US_national_yearly!$D:$AM, 10, FALSE), 1)</f>
        <v>1.6655636033269253E-2</v>
      </c>
      <c r="G14" s="7">
        <f>$B14 * IFERROR(VLOOKUP("LULUCF|PM25|Minor restricted activity days", US_national_yearly!$D:$AM, 15, FALSE) / VLOOKUP("LULUCF|PM25|Minor restricted activity days", US_national_yearly!$D:$AM, 10, FALSE), 1)</f>
        <v>1.6715070253473428E-2</v>
      </c>
      <c r="H14" s="7">
        <f>$B14 * IFERROR(VLOOKUP("LULUCF|PM25|Minor restricted activity days", US_national_yearly!$D:$AM, 16, FALSE) / VLOOKUP("LULUCF|PM25|Minor restricted activity days", US_national_yearly!$D:$AM, 10, FALSE), 1)</f>
        <v>1.67745044736776E-2</v>
      </c>
      <c r="I14" s="7">
        <f>$B14 * IFERROR(VLOOKUP("LULUCF|PM25|Minor restricted activity days", US_national_yearly!$D:$AM, 17, FALSE) / VLOOKUP("LULUCF|PM25|Minor restricted activity days", US_national_yearly!$D:$AM, 10, FALSE), 1)</f>
        <v>1.6876109773563658E-2</v>
      </c>
      <c r="J14" s="7">
        <f>$B14 * IFERROR(VLOOKUP("LULUCF|PM25|Minor restricted activity days", US_national_yearly!$D:$AM, 18, FALSE) / VLOOKUP("LULUCF|PM25|Minor restricted activity days", US_national_yearly!$D:$AM, 10, FALSE), 1)</f>
        <v>1.6977715073449706E-2</v>
      </c>
      <c r="K14" s="7">
        <f>$B14 * IFERROR(VLOOKUP("LULUCF|PM25|Minor restricted activity days", US_national_yearly!$D:$AM, 19, FALSE) / VLOOKUP("LULUCF|PM25|Minor restricted activity days", US_national_yearly!$D:$AM, 10, FALSE), 1)</f>
        <v>1.707932037333576E-2</v>
      </c>
      <c r="L14" s="7">
        <f>$B14 * IFERROR(VLOOKUP("LULUCF|PM25|Minor restricted activity days", US_national_yearly!$D:$AM, 20, FALSE) / VLOOKUP("LULUCF|PM25|Minor restricted activity days", US_national_yearly!$D:$AM, 10, FALSE), 1)</f>
        <v>1.7180925673221811E-2</v>
      </c>
      <c r="M14" s="7">
        <f>$B14 * IFERROR(VLOOKUP("LULUCF|PM25|Minor restricted activity days", US_national_yearly!$D:$AM, 21, FALSE) / VLOOKUP("LULUCF|PM25|Minor restricted activity days", US_national_yearly!$D:$AM, 10, FALSE), 1)</f>
        <v>1.7282530973107862E-2</v>
      </c>
      <c r="N14" s="7">
        <f>$B14 * IFERROR(VLOOKUP("LULUCF|PM25|Minor restricted activity days", US_national_yearly!$D:$AM, 22, FALSE) / VLOOKUP("LULUCF|PM25|Minor restricted activity days", US_national_yearly!$D:$AM, 10, FALSE), 1)</f>
        <v>1.7420937621131897E-2</v>
      </c>
      <c r="O14" s="7">
        <f>$B14 * IFERROR(VLOOKUP("LULUCF|PM25|Minor restricted activity days", US_national_yearly!$D:$AM, 23, FALSE) / VLOOKUP("LULUCF|PM25|Minor restricted activity days", US_national_yearly!$D:$AM, 10, FALSE), 1)</f>
        <v>1.7559344269155928E-2</v>
      </c>
      <c r="P14" s="7">
        <f>$B14 * IFERROR(VLOOKUP("LULUCF|PM25|Minor restricted activity days", US_national_yearly!$D:$AM, 24, FALSE) / VLOOKUP("LULUCF|PM25|Minor restricted activity days", US_national_yearly!$D:$AM, 10, FALSE), 1)</f>
        <v>1.7697750917179962E-2</v>
      </c>
      <c r="Q14" s="7">
        <f>$B14 * IFERROR(VLOOKUP("LULUCF|PM25|Minor restricted activity days", US_national_yearly!$D:$AM, 25, FALSE) / VLOOKUP("LULUCF|PM25|Minor restricted activity days", US_national_yearly!$D:$AM, 10, FALSE), 1)</f>
        <v>1.7836157565203993E-2</v>
      </c>
      <c r="R14" s="7">
        <f>$B14 * IFERROR(VLOOKUP("LULUCF|PM25|Minor restricted activity days", US_national_yearly!$D:$AM, 26, FALSE) / VLOOKUP("LULUCF|PM25|Minor restricted activity days", US_national_yearly!$D:$AM, 10, FALSE), 1)</f>
        <v>1.7974564213228024E-2</v>
      </c>
      <c r="S14" s="7">
        <f>$B14 * IFERROR(VLOOKUP("LULUCF|PM25|Minor restricted activity days", US_national_yearly!$D:$AM, 27, FALSE) / VLOOKUP("LULUCF|PM25|Minor restricted activity days", US_national_yearly!$D:$AM, 10, FALSE), 1)</f>
        <v>1.811392402248399E-2</v>
      </c>
      <c r="T14" s="7">
        <f>$B14 * IFERROR(VLOOKUP("LULUCF|PM25|Minor restricted activity days", US_national_yearly!$D:$AM, 28, FALSE) / VLOOKUP("LULUCF|PM25|Minor restricted activity days", US_national_yearly!$D:$AM, 10, FALSE), 1)</f>
        <v>1.825328383173996E-2</v>
      </c>
      <c r="U14" s="7">
        <f>$B14 * IFERROR(VLOOKUP("LULUCF|PM25|Minor restricted activity days", US_national_yearly!$D:$AM, 29, FALSE) / VLOOKUP("LULUCF|PM25|Minor restricted activity days", US_national_yearly!$D:$AM, 10, FALSE), 1)</f>
        <v>1.8392643640995927E-2</v>
      </c>
      <c r="V14" s="7">
        <f>$B14 * IFERROR(VLOOKUP("LULUCF|PM25|Minor restricted activity days", US_national_yearly!$D:$AM, 30, FALSE) / VLOOKUP("LULUCF|PM25|Minor restricted activity days", US_national_yearly!$D:$AM, 10, FALSE), 1)</f>
        <v>1.8532003450251893E-2</v>
      </c>
      <c r="W14" s="7">
        <f>$B14 * IFERROR(VLOOKUP("LULUCF|PM25|Minor restricted activity days", US_national_yearly!$D:$AM, 31, FALSE) / VLOOKUP("LULUCF|PM25|Minor restricted activity days", US_national_yearly!$D:$AM, 10, FALSE), 1)</f>
        <v>1.8671363259507859E-2</v>
      </c>
      <c r="X14" s="7">
        <f>$B14 * IFERROR(VLOOKUP("LULUCF|PM25|Minor restricted activity days", US_national_yearly!$D:$AM, 32, FALSE) / VLOOKUP("LULUCF|PM25|Minor restricted activity days", US_national_yearly!$D:$AM, 10, FALSE), 1)</f>
        <v>1.8792341593805596E-2</v>
      </c>
      <c r="Y14" s="7">
        <f>$B14 * IFERROR(VLOOKUP("LULUCF|PM25|Minor restricted activity days", US_national_yearly!$D:$AM, 33, FALSE) / VLOOKUP("LULUCF|PM25|Minor restricted activity days", US_national_yearly!$D:$AM, 10, FALSE), 1)</f>
        <v>1.8913319928103332E-2</v>
      </c>
      <c r="Z14" s="7">
        <f>$B14 * IFERROR(VLOOKUP("LULUCF|PM25|Minor restricted activity days", US_national_yearly!$D:$AM, 34, FALSE) / VLOOKUP("LULUCF|PM25|Minor restricted activity days", US_national_yearly!$D:$AM, 10, FALSE), 1)</f>
        <v>1.9034298262401064E-2</v>
      </c>
      <c r="AA14" s="7">
        <f>$B14 * IFERROR(VLOOKUP("LULUCF|PM25|Minor restricted activity days", US_national_yearly!$D:$AM, 35, FALSE) / VLOOKUP("LULUCF|PM25|Minor restricted activity days", US_national_yearly!$D:$AM, 10, FALSE), 1)</f>
        <v>1.9155276596698797E-2</v>
      </c>
      <c r="AB14" s="7">
        <f>$B14 * IFERROR(VLOOKUP("LULUCF|PM25|Minor restricted activity days", US_national_yearly!$D:$AM, 36, FALSE) / VLOOKUP("LULUCF|PM25|Minor restricted activity days", US_national_yearly!$D:$AM, 10, FALSE), 1)</f>
        <v>1.9276254930996529E-2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2.7611442001298156E-3</v>
      </c>
      <c r="C15" s="7">
        <f>$B15 * IFERROR(VLOOKUP("LULUCF|PM25|Work loss days", US_national_yearly!$D:$AM, 11, FALSE) / VLOOKUP("LULUCF|PM25|Work loss days", US_national_yearly!$D:$AM, 10, FALSE), 1)</f>
        <v>2.7697027526667156E-3</v>
      </c>
      <c r="D15" s="7">
        <f>$B15 * IFERROR(VLOOKUP("LULUCF|PM25|Work loss days", US_national_yearly!$D:$AM, 12, FALSE) / VLOOKUP("LULUCF|PM25|Work loss days", US_national_yearly!$D:$AM, 10, FALSE), 1)</f>
        <v>2.778261305203616E-3</v>
      </c>
      <c r="E15" s="7">
        <f>$B15 * IFERROR(VLOOKUP("LULUCF|PM25|Work loss days", US_national_yearly!$D:$AM, 13, FALSE) / VLOOKUP("LULUCF|PM25|Work loss days", US_national_yearly!$D:$AM, 10, FALSE), 1)</f>
        <v>2.786819857740516E-3</v>
      </c>
      <c r="F15" s="7">
        <f>$B15 * IFERROR(VLOOKUP("LULUCF|PM25|Work loss days", US_national_yearly!$D:$AM, 14, FALSE) / VLOOKUP("LULUCF|PM25|Work loss days", US_national_yearly!$D:$AM, 10, FALSE), 1)</f>
        <v>2.795378410277416E-3</v>
      </c>
      <c r="G15" s="7">
        <f>$B15 * IFERROR(VLOOKUP("LULUCF|PM25|Work loss days", US_national_yearly!$D:$AM, 15, FALSE) / VLOOKUP("LULUCF|PM25|Work loss days", US_national_yearly!$D:$AM, 10, FALSE), 1)</f>
        <v>2.8065992187827375E-3</v>
      </c>
      <c r="H15" s="7">
        <f>$B15 * IFERROR(VLOOKUP("LULUCF|PM25|Work loss days", US_national_yearly!$D:$AM, 16, FALSE) / VLOOKUP("LULUCF|PM25|Work loss days", US_national_yearly!$D:$AM, 10, FALSE), 1)</f>
        <v>2.8178200272880598E-3</v>
      </c>
      <c r="I15" s="7">
        <f>$B15 * IFERROR(VLOOKUP("LULUCF|PM25|Work loss days", US_national_yearly!$D:$AM, 17, FALSE) / VLOOKUP("LULUCF|PM25|Work loss days", US_national_yearly!$D:$AM, 10, FALSE), 1)</f>
        <v>2.8343439019317363E-3</v>
      </c>
      <c r="J15" s="7">
        <f>$B15 * IFERROR(VLOOKUP("LULUCF|PM25|Work loss days", US_national_yearly!$D:$AM, 18, FALSE) / VLOOKUP("LULUCF|PM25|Work loss days", US_national_yearly!$D:$AM, 10, FALSE), 1)</f>
        <v>2.8508677765754125E-3</v>
      </c>
      <c r="K15" s="7">
        <f>$B15 * IFERROR(VLOOKUP("LULUCF|PM25|Work loss days", US_national_yearly!$D:$AM, 19, FALSE) / VLOOKUP("LULUCF|PM25|Work loss days", US_national_yearly!$D:$AM, 10, FALSE), 1)</f>
        <v>2.867391651219089E-3</v>
      </c>
      <c r="L15" s="7">
        <f>$B15 * IFERROR(VLOOKUP("LULUCF|PM25|Work loss days", US_national_yearly!$D:$AM, 20, FALSE) / VLOOKUP("LULUCF|PM25|Work loss days", US_national_yearly!$D:$AM, 10, FALSE), 1)</f>
        <v>2.8839155258627651E-3</v>
      </c>
      <c r="M15" s="7">
        <f>$B15 * IFERROR(VLOOKUP("LULUCF|PM25|Work loss days", US_national_yearly!$D:$AM, 21, FALSE) / VLOOKUP("LULUCF|PM25|Work loss days", US_national_yearly!$D:$AM, 10, FALSE), 1)</f>
        <v>2.9004394005064417E-3</v>
      </c>
      <c r="N15" s="7">
        <f>$B15 * IFERROR(VLOOKUP("LULUCF|PM25|Work loss days", US_national_yearly!$D:$AM, 22, FALSE) / VLOOKUP("LULUCF|PM25|Work loss days", US_national_yearly!$D:$AM, 10, FALSE), 1)</f>
        <v>2.9212359474177691E-3</v>
      </c>
      <c r="O15" s="7">
        <f>$B15 * IFERROR(VLOOKUP("LULUCF|PM25|Work loss days", US_national_yearly!$D:$AM, 23, FALSE) / VLOOKUP("LULUCF|PM25|Work loss days", US_national_yearly!$D:$AM, 10, FALSE), 1)</f>
        <v>2.9420324943290961E-3</v>
      </c>
      <c r="P15" s="7">
        <f>$B15 * IFERROR(VLOOKUP("LULUCF|PM25|Work loss days", US_national_yearly!$D:$AM, 24, FALSE) / VLOOKUP("LULUCF|PM25|Work loss days", US_national_yearly!$D:$AM, 10, FALSE), 1)</f>
        <v>2.962829041240424E-3</v>
      </c>
      <c r="Q15" s="7">
        <f>$B15 * IFERROR(VLOOKUP("LULUCF|PM25|Work loss days", US_national_yearly!$D:$AM, 25, FALSE) / VLOOKUP("LULUCF|PM25|Work loss days", US_national_yearly!$D:$AM, 10, FALSE), 1)</f>
        <v>2.983625588151751E-3</v>
      </c>
      <c r="R15" s="7">
        <f>$B15 * IFERROR(VLOOKUP("LULUCF|PM25|Work loss days", US_national_yearly!$D:$AM, 26, FALSE) / VLOOKUP("LULUCF|PM25|Work loss days", US_national_yearly!$D:$AM, 10, FALSE), 1)</f>
        <v>3.0044221350630789E-3</v>
      </c>
      <c r="S15" s="7">
        <f>$B15 * IFERROR(VLOOKUP("LULUCF|PM25|Work loss days", US_national_yearly!$D:$AM, 27, FALSE) / VLOOKUP("LULUCF|PM25|Work loss days", US_national_yearly!$D:$AM, 10, FALSE), 1)</f>
        <v>3.0274240038234068E-3</v>
      </c>
      <c r="T15" s="7">
        <f>$B15 * IFERROR(VLOOKUP("LULUCF|PM25|Work loss days", US_national_yearly!$D:$AM, 28, FALSE) / VLOOKUP("LULUCF|PM25|Work loss days", US_national_yearly!$D:$AM, 10, FALSE), 1)</f>
        <v>3.0504258725837356E-3</v>
      </c>
      <c r="U15" s="7">
        <f>$B15 * IFERROR(VLOOKUP("LULUCF|PM25|Work loss days", US_national_yearly!$D:$AM, 29, FALSE) / VLOOKUP("LULUCF|PM25|Work loss days", US_national_yearly!$D:$AM, 10, FALSE), 1)</f>
        <v>3.0734277413440631E-3</v>
      </c>
      <c r="V15" s="7">
        <f>$B15 * IFERROR(VLOOKUP("LULUCF|PM25|Work loss days", US_national_yearly!$D:$AM, 30, FALSE) / VLOOKUP("LULUCF|PM25|Work loss days", US_national_yearly!$D:$AM, 10, FALSE), 1)</f>
        <v>3.0964296101043919E-3</v>
      </c>
      <c r="W15" s="7">
        <f>$B15 * IFERROR(VLOOKUP("LULUCF|PM25|Work loss days", US_national_yearly!$D:$AM, 31, FALSE) / VLOOKUP("LULUCF|PM25|Work loss days", US_national_yearly!$D:$AM, 10, FALSE), 1)</f>
        <v>3.1194314788647202E-3</v>
      </c>
      <c r="X15" s="7">
        <f>$B15 * IFERROR(VLOOKUP("LULUCF|PM25|Work loss days", US_national_yearly!$D:$AM, 32, FALSE) / VLOOKUP("LULUCF|PM25|Work loss days", US_national_yearly!$D:$AM, 10, FALSE), 1)</f>
        <v>3.1398403401424577E-3</v>
      </c>
      <c r="Y15" s="7">
        <f>$B15 * IFERROR(VLOOKUP("LULUCF|PM25|Work loss days", US_national_yearly!$D:$AM, 33, FALSE) / VLOOKUP("LULUCF|PM25|Work loss days", US_national_yearly!$D:$AM, 10, FALSE), 1)</f>
        <v>3.1602492014201947E-3</v>
      </c>
      <c r="Z15" s="7">
        <f>$B15 * IFERROR(VLOOKUP("LULUCF|PM25|Work loss days", US_national_yearly!$D:$AM, 34, FALSE) / VLOOKUP("LULUCF|PM25|Work loss days", US_national_yearly!$D:$AM, 10, FALSE), 1)</f>
        <v>3.1806580626979331E-3</v>
      </c>
      <c r="AA15" s="7">
        <f>$B15 * IFERROR(VLOOKUP("LULUCF|PM25|Work loss days", US_national_yearly!$D:$AM, 35, FALSE) / VLOOKUP("LULUCF|PM25|Work loss days", US_national_yearly!$D:$AM, 10, FALSE), 1)</f>
        <v>3.201066923975671E-3</v>
      </c>
      <c r="AB15" s="7">
        <f>$B15 * IFERROR(VLOOKUP("LULUCF|PM25|Work loss days", US_national_yearly!$D:$AM, 36, FALSE) / VLOOKUP("LULUCF|PM25|Work loss days", US_national_yearly!$D:$AM, 10, FALSE), 1)</f>
        <v>3.2214757852534084E-3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6.0893462755429521E-6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6.2713001884599768E-6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6.4532541013770025E-6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6.6352080142940281E-6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6.8171619272110537E-6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6.991441273949356E-6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7.1657206206876608E-6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7.3147738863379587E-6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7.4638271519882557E-6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7.6128804176385527E-6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7.7619336832888523E-6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7.9109869489391484E-6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8.0103641642329633E-6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8.1097413795267799E-6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8.2091185948205964E-6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8.308495810114413E-6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8.4078730254082278E-6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8.4604528502616845E-6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8.5130326751151411E-6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8.5656124999685961E-6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8.6181923248220527E-6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8.6707721496755093E-6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8.7061695794003006E-6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8.7415670091250919E-6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8.7769644388498849E-6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8.8123618685746761E-6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8.8477592982994674E-6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5.7520430496887844E-5</v>
      </c>
      <c r="C2" s="7">
        <f>$B2 * IFERROR(VLOOKUP("LULUCF|NOx|Premature mortality", US_national_yearly!$D:$AM, 11, FALSE) / VLOOKUP("LULUCF|NOx|Premature mortality", US_national_yearly!$D:$AM, 10, FALSE), 1)</f>
        <v>5.8365308396791226E-5</v>
      </c>
      <c r="D2" s="7">
        <f>$B2 * IFERROR(VLOOKUP("LULUCF|NOx|Premature mortality", US_national_yearly!$D:$AM, 12, FALSE) / VLOOKUP("LULUCF|NOx|Premature mortality", US_national_yearly!$D:$AM, 10, FALSE), 1)</f>
        <v>5.9210186296694594E-5</v>
      </c>
      <c r="E2" s="7">
        <f>$B2 * IFERROR(VLOOKUP("LULUCF|NOx|Premature mortality", US_national_yearly!$D:$AM, 13, FALSE) / VLOOKUP("LULUCF|NOx|Premature mortality", US_national_yearly!$D:$AM, 10, FALSE), 1)</f>
        <v>6.0055064196597975E-5</v>
      </c>
      <c r="F2" s="7">
        <f>$B2 * IFERROR(VLOOKUP("LULUCF|NOx|Premature mortality", US_national_yearly!$D:$AM, 14, FALSE) / VLOOKUP("LULUCF|NOx|Premature mortality", US_national_yearly!$D:$AM, 10, FALSE), 1)</f>
        <v>6.0899942096501357E-5</v>
      </c>
      <c r="G2" s="7">
        <f>$B2 * IFERROR(VLOOKUP("LULUCF|NOx|Premature mortality", US_national_yearly!$D:$AM, 15, FALSE) / VLOOKUP("LULUCF|NOx|Premature mortality", US_national_yearly!$D:$AM, 10, FALSE), 1)</f>
        <v>6.2417542554313063E-5</v>
      </c>
      <c r="H2" s="7">
        <f>$B2 * IFERROR(VLOOKUP("LULUCF|NOx|Premature mortality", US_national_yearly!$D:$AM, 16, FALSE) / VLOOKUP("LULUCF|NOx|Premature mortality", US_national_yearly!$D:$AM, 10, FALSE), 1)</f>
        <v>6.3935143012124797E-5</v>
      </c>
      <c r="I2" s="7">
        <f>$B2 * IFERROR(VLOOKUP("LULUCF|NOx|Premature mortality", US_national_yearly!$D:$AM, 17, FALSE) / VLOOKUP("LULUCF|NOx|Premature mortality", US_national_yearly!$D:$AM, 10, FALSE), 1)</f>
        <v>6.4914782894451398E-5</v>
      </c>
      <c r="J2" s="7">
        <f>$B2 * IFERROR(VLOOKUP("LULUCF|NOx|Premature mortality", US_national_yearly!$D:$AM, 18, FALSE) / VLOOKUP("LULUCF|NOx|Premature mortality", US_national_yearly!$D:$AM, 10, FALSE), 1)</f>
        <v>6.5894422776778026E-5</v>
      </c>
      <c r="K2" s="7">
        <f>$B2 * IFERROR(VLOOKUP("LULUCF|NOx|Premature mortality", US_national_yearly!$D:$AM, 19, FALSE) / VLOOKUP("LULUCF|NOx|Premature mortality", US_national_yearly!$D:$AM, 10, FALSE), 1)</f>
        <v>6.6874062659104627E-5</v>
      </c>
      <c r="L2" s="7">
        <f>$B2 * IFERROR(VLOOKUP("LULUCF|NOx|Premature mortality", US_national_yearly!$D:$AM, 20, FALSE) / VLOOKUP("LULUCF|NOx|Premature mortality", US_national_yearly!$D:$AM, 10, FALSE), 1)</f>
        <v>6.7853702541431242E-5</v>
      </c>
      <c r="M2" s="7">
        <f>$B2 * IFERROR(VLOOKUP("LULUCF|NOx|Premature mortality", US_national_yearly!$D:$AM, 21, FALSE) / VLOOKUP("LULUCF|NOx|Premature mortality", US_national_yearly!$D:$AM, 10, FALSE), 1)</f>
        <v>6.883334242375787E-5</v>
      </c>
      <c r="N2" s="7">
        <f>$B2 * IFERROR(VLOOKUP("LULUCF|NOx|Premature mortality", US_national_yearly!$D:$AM, 22, FALSE) / VLOOKUP("LULUCF|NOx|Premature mortality", US_national_yearly!$D:$AM, 10, FALSE), 1)</f>
        <v>6.9559055840192566E-5</v>
      </c>
      <c r="O2" s="7">
        <f>$B2 * IFERROR(VLOOKUP("LULUCF|NOx|Premature mortality", US_national_yearly!$D:$AM, 23, FALSE) / VLOOKUP("LULUCF|NOx|Premature mortality", US_national_yearly!$D:$AM, 10, FALSE), 1)</f>
        <v>7.0284769256627276E-5</v>
      </c>
      <c r="P2" s="7">
        <f>$B2 * IFERROR(VLOOKUP("LULUCF|NOx|Premature mortality", US_national_yearly!$D:$AM, 24, FALSE) / VLOOKUP("LULUCF|NOx|Premature mortality", US_national_yearly!$D:$AM, 10, FALSE), 1)</f>
        <v>7.1010482673061973E-5</v>
      </c>
      <c r="Q2" s="7">
        <f>$B2 * IFERROR(VLOOKUP("LULUCF|NOx|Premature mortality", US_national_yearly!$D:$AM, 25, FALSE) / VLOOKUP("LULUCF|NOx|Premature mortality", US_national_yearly!$D:$AM, 10, FALSE), 1)</f>
        <v>7.1736196089496697E-5</v>
      </c>
      <c r="R2" s="7">
        <f>$B2 * IFERROR(VLOOKUP("LULUCF|NOx|Premature mortality", US_national_yearly!$D:$AM, 26, FALSE) / VLOOKUP("LULUCF|NOx|Premature mortality", US_national_yearly!$D:$AM, 10, FALSE), 1)</f>
        <v>7.2461909505931393E-5</v>
      </c>
      <c r="S2" s="7">
        <f>$B2 * IFERROR(VLOOKUP("LULUCF|NOx|Premature mortality", US_national_yearly!$D:$AM, 27, FALSE) / VLOOKUP("LULUCF|NOx|Premature mortality", US_national_yearly!$D:$AM, 10, FALSE), 1)</f>
        <v>7.2791753561537959E-5</v>
      </c>
      <c r="T2" s="7">
        <f>$B2 * IFERROR(VLOOKUP("LULUCF|NOx|Premature mortality", US_national_yearly!$D:$AM, 28, FALSE) / VLOOKUP("LULUCF|NOx|Premature mortality", US_national_yearly!$D:$AM, 10, FALSE), 1)</f>
        <v>7.3121597617144526E-5</v>
      </c>
      <c r="U2" s="7">
        <f>$B2 * IFERROR(VLOOKUP("LULUCF|NOx|Premature mortality", US_national_yearly!$D:$AM, 29, FALSE) / VLOOKUP("LULUCF|NOx|Premature mortality", US_national_yearly!$D:$AM, 10, FALSE), 1)</f>
        <v>7.3451441672751092E-5</v>
      </c>
      <c r="V2" s="7">
        <f>$B2 * IFERROR(VLOOKUP("LULUCF|NOx|Premature mortality", US_national_yearly!$D:$AM, 30, FALSE) / VLOOKUP("LULUCF|NOx|Premature mortality", US_national_yearly!$D:$AM, 10, FALSE), 1)</f>
        <v>7.3781285728357645E-5</v>
      </c>
      <c r="W2" s="7">
        <f>$B2 * IFERROR(VLOOKUP("LULUCF|NOx|Premature mortality", US_national_yearly!$D:$AM, 31, FALSE) / VLOOKUP("LULUCF|NOx|Premature mortality", US_national_yearly!$D:$AM, 10, FALSE), 1)</f>
        <v>7.4111129783964224E-5</v>
      </c>
      <c r="X2" s="7">
        <f>$B2 * IFERROR(VLOOKUP("LULUCF|NOx|Premature mortality", US_national_yearly!$D:$AM, 32, FALSE) / VLOOKUP("LULUCF|NOx|Premature mortality", US_national_yearly!$D:$AM, 10, FALSE), 1)</f>
        <v>7.4122555392718435E-5</v>
      </c>
      <c r="Y2" s="7">
        <f>$B2 * IFERROR(VLOOKUP("LULUCF|NOx|Premature mortality", US_national_yearly!$D:$AM, 33, FALSE) / VLOOKUP("LULUCF|NOx|Premature mortality", US_national_yearly!$D:$AM, 10, FALSE), 1)</f>
        <v>7.4133981001472645E-5</v>
      </c>
      <c r="Z2" s="7">
        <f>$B2 * IFERROR(VLOOKUP("LULUCF|NOx|Premature mortality", US_national_yearly!$D:$AM, 34, FALSE) / VLOOKUP("LULUCF|NOx|Premature mortality", US_national_yearly!$D:$AM, 10, FALSE), 1)</f>
        <v>7.4145406610226841E-5</v>
      </c>
      <c r="AA2" s="7">
        <f>$B2 * IFERROR(VLOOKUP("LULUCF|NOx|Premature mortality", US_national_yearly!$D:$AM, 35, FALSE) / VLOOKUP("LULUCF|NOx|Premature mortality", US_national_yearly!$D:$AM, 10, FALSE), 1)</f>
        <v>7.4156832218981065E-5</v>
      </c>
      <c r="AB2" s="7">
        <f>$B2 * IFERROR(VLOOKUP("LULUCF|NOx|Premature mortality", US_national_yearly!$D:$AM, 36, FALSE) / VLOOKUP("LULUCF|NOx|Premature mortality", US_national_yearly!$D:$AM, 10, FALSE), 1)</f>
        <v>7.4168257827735275E-5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7.660258589369556E-8</v>
      </c>
      <c r="C3" s="7">
        <f>$B3 * IFERROR(VLOOKUP("LULUCF|NOx|Infant mortality", US_national_yearly!$D:$AM, 11, FALSE) / VLOOKUP("LULUCF|NOx|Infant mortality", US_national_yearly!$D:$AM, 10, FALSE), 1)</f>
        <v>7.5872751067221108E-8</v>
      </c>
      <c r="D3" s="7">
        <f>$B3 * IFERROR(VLOOKUP("LULUCF|NOx|Infant mortality", US_national_yearly!$D:$AM, 12, FALSE) / VLOOKUP("LULUCF|NOx|Infant mortality", US_national_yearly!$D:$AM, 10, FALSE), 1)</f>
        <v>7.5142916240746642E-8</v>
      </c>
      <c r="E3" s="7">
        <f>$B3 * IFERROR(VLOOKUP("LULUCF|NOx|Infant mortality", US_national_yearly!$D:$AM, 13, FALSE) / VLOOKUP("LULUCF|NOx|Infant mortality", US_national_yearly!$D:$AM, 10, FALSE), 1)</f>
        <v>7.4413081414272176E-8</v>
      </c>
      <c r="F3" s="7">
        <f>$B3 * IFERROR(VLOOKUP("LULUCF|NOx|Infant mortality", US_national_yearly!$D:$AM, 14, FALSE) / VLOOKUP("LULUCF|NOx|Infant mortality", US_national_yearly!$D:$AM, 10, FALSE), 1)</f>
        <v>7.3683246587797724E-8</v>
      </c>
      <c r="G3" s="7">
        <f>$B3 * IFERROR(VLOOKUP("LULUCF|NOx|Infant mortality", US_national_yearly!$D:$AM, 15, FALSE) / VLOOKUP("LULUCF|NOx|Infant mortality", US_national_yearly!$D:$AM, 10, FALSE), 1)</f>
        <v>4.8914577636101036E-8</v>
      </c>
      <c r="H3" s="7">
        <f>$B3 * IFERROR(VLOOKUP("LULUCF|NOx|Infant mortality", US_national_yearly!$D:$AM, 16, FALSE) / VLOOKUP("LULUCF|NOx|Infant mortality", US_national_yearly!$D:$AM, 10, FALSE), 1)</f>
        <v>2.4145908684404352E-8</v>
      </c>
      <c r="I3" s="7">
        <f>$B3 * IFERROR(VLOOKUP("LULUCF|NOx|Infant mortality", US_national_yearly!$D:$AM, 17, FALSE) / VLOOKUP("LULUCF|NOx|Infant mortality", US_national_yearly!$D:$AM, 10, FALSE), 1)</f>
        <v>2.3975174055398056E-8</v>
      </c>
      <c r="J3" s="7">
        <f>$B3 * IFERROR(VLOOKUP("LULUCF|NOx|Infant mortality", US_national_yearly!$D:$AM, 18, FALSE) / VLOOKUP("LULUCF|NOx|Infant mortality", US_national_yearly!$D:$AM, 10, FALSE), 1)</f>
        <v>2.3804439426391754E-8</v>
      </c>
      <c r="K3" s="7">
        <f>$B3 * IFERROR(VLOOKUP("LULUCF|NOx|Infant mortality", US_national_yearly!$D:$AM, 19, FALSE) / VLOOKUP("LULUCF|NOx|Infant mortality", US_national_yearly!$D:$AM, 10, FALSE), 1)</f>
        <v>2.3633704797385458E-8</v>
      </c>
      <c r="L3" s="7">
        <f>$B3 * IFERROR(VLOOKUP("LULUCF|NOx|Infant mortality", US_national_yearly!$D:$AM, 20, FALSE) / VLOOKUP("LULUCF|NOx|Infant mortality", US_national_yearly!$D:$AM, 10, FALSE), 1)</f>
        <v>2.3462970168379162E-8</v>
      </c>
      <c r="M3" s="7">
        <f>$B3 * IFERROR(VLOOKUP("LULUCF|NOx|Infant mortality", US_national_yearly!$D:$AM, 21, FALSE) / VLOOKUP("LULUCF|NOx|Infant mortality", US_national_yearly!$D:$AM, 10, FALSE), 1)</f>
        <v>2.3292235539372859E-8</v>
      </c>
      <c r="N3" s="7">
        <f>$B3 * IFERROR(VLOOKUP("LULUCF|NOx|Infant mortality", US_national_yearly!$D:$AM, 22, FALSE) / VLOOKUP("LULUCF|NOx|Infant mortality", US_national_yearly!$D:$AM, 10, FALSE), 1)</f>
        <v>2.317890903147753E-8</v>
      </c>
      <c r="O3" s="7">
        <f>$B3 * IFERROR(VLOOKUP("LULUCF|NOx|Infant mortality", US_national_yearly!$D:$AM, 23, FALSE) / VLOOKUP("LULUCF|NOx|Infant mortality", US_national_yearly!$D:$AM, 10, FALSE), 1)</f>
        <v>2.3065582523582198E-8</v>
      </c>
      <c r="P3" s="7">
        <f>$B3 * IFERROR(VLOOKUP("LULUCF|NOx|Infant mortality", US_national_yearly!$D:$AM, 24, FALSE) / VLOOKUP("LULUCF|NOx|Infant mortality", US_national_yearly!$D:$AM, 10, FALSE), 1)</f>
        <v>2.2952256015686866E-8</v>
      </c>
      <c r="Q3" s="7">
        <f>$B3 * IFERROR(VLOOKUP("LULUCF|NOx|Infant mortality", US_national_yearly!$D:$AM, 25, FALSE) / VLOOKUP("LULUCF|NOx|Infant mortality", US_national_yearly!$D:$AM, 10, FALSE), 1)</f>
        <v>2.2838929507791538E-8</v>
      </c>
      <c r="R3" s="7">
        <f>$B3 * IFERROR(VLOOKUP("LULUCF|NOx|Infant mortality", US_national_yearly!$D:$AM, 26, FALSE) / VLOOKUP("LULUCF|NOx|Infant mortality", US_national_yearly!$D:$AM, 10, FALSE), 1)</f>
        <v>2.2725602999896206E-8</v>
      </c>
      <c r="S3" s="7">
        <f>$B3 * IFERROR(VLOOKUP("LULUCF|NOx|Infant mortality", US_national_yearly!$D:$AM, 27, FALSE) / VLOOKUP("LULUCF|NOx|Infant mortality", US_national_yearly!$D:$AM, 10, FALSE), 1)</f>
        <v>2.2589366515791176E-8</v>
      </c>
      <c r="T3" s="7">
        <f>$B3 * IFERROR(VLOOKUP("LULUCF|NOx|Infant mortality", US_national_yearly!$D:$AM, 28, FALSE) / VLOOKUP("LULUCF|NOx|Infant mortality", US_national_yearly!$D:$AM, 10, FALSE), 1)</f>
        <v>2.2453130031686144E-8</v>
      </c>
      <c r="U3" s="7">
        <f>$B3 * IFERROR(VLOOKUP("LULUCF|NOx|Infant mortality", US_national_yearly!$D:$AM, 29, FALSE) / VLOOKUP("LULUCF|NOx|Infant mortality", US_national_yearly!$D:$AM, 10, FALSE), 1)</f>
        <v>2.2316893547581111E-8</v>
      </c>
      <c r="V3" s="7">
        <f>$B3 * IFERROR(VLOOKUP("LULUCF|NOx|Infant mortality", US_national_yearly!$D:$AM, 30, FALSE) / VLOOKUP("LULUCF|NOx|Infant mortality", US_national_yearly!$D:$AM, 10, FALSE), 1)</f>
        <v>2.2180657063476082E-8</v>
      </c>
      <c r="W3" s="7">
        <f>$B3 * IFERROR(VLOOKUP("LULUCF|NOx|Infant mortality", US_national_yearly!$D:$AM, 31, FALSE) / VLOOKUP("LULUCF|NOx|Infant mortality", US_national_yearly!$D:$AM, 10, FALSE), 1)</f>
        <v>2.2044420579371049E-8</v>
      </c>
      <c r="X3" s="7">
        <f>$B3 * IFERROR(VLOOKUP("LULUCF|NOx|Infant mortality", US_national_yearly!$D:$AM, 32, FALSE) / VLOOKUP("LULUCF|NOx|Infant mortality", US_national_yearly!$D:$AM, 10, FALSE), 1)</f>
        <v>2.1900139554576342E-8</v>
      </c>
      <c r="Y3" s="7">
        <f>$B3 * IFERROR(VLOOKUP("LULUCF|NOx|Infant mortality", US_national_yearly!$D:$AM, 33, FALSE) / VLOOKUP("LULUCF|NOx|Infant mortality", US_national_yearly!$D:$AM, 10, FALSE), 1)</f>
        <v>2.1755858529781631E-8</v>
      </c>
      <c r="Z3" s="7">
        <f>$B3 * IFERROR(VLOOKUP("LULUCF|NOx|Infant mortality", US_national_yearly!$D:$AM, 34, FALSE) / VLOOKUP("LULUCF|NOx|Infant mortality", US_national_yearly!$D:$AM, 10, FALSE), 1)</f>
        <v>2.1611577504986921E-8</v>
      </c>
      <c r="AA3" s="7">
        <f>$B3 * IFERROR(VLOOKUP("LULUCF|NOx|Infant mortality", US_national_yearly!$D:$AM, 35, FALSE) / VLOOKUP("LULUCF|NOx|Infant mortality", US_national_yearly!$D:$AM, 10, FALSE), 1)</f>
        <v>2.1467296480192207E-8</v>
      </c>
      <c r="AB3" s="7">
        <f>$B3 * IFERROR(VLOOKUP("LULUCF|NOx|Infant mortality", US_national_yearly!$D:$AM, 36, FALSE) / VLOOKUP("LULUCF|NOx|Infant mortality", US_national_yearly!$D:$AM, 10, FALSE), 1)</f>
        <v>2.1323015455397497E-8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1.1193166684239234E-4</v>
      </c>
      <c r="C6" s="7">
        <f>$B6 * IFERROR(VLOOKUP("LULUCF|NOx|Asthma symptoms cough", US_national_yearly!$D:$AM, 11, FALSE) / VLOOKUP("LULUCF|NOx|Asthma symptoms cough", US_national_yearly!$D:$AM, 10, FALSE), 1)</f>
        <v>1.1346195572915909E-4</v>
      </c>
      <c r="D6" s="7">
        <f>$B6 * IFERROR(VLOOKUP("LULUCF|NOx|Asthma symptoms cough", US_national_yearly!$D:$AM, 12, FALSE) / VLOOKUP("LULUCF|NOx|Asthma symptoms cough", US_national_yearly!$D:$AM, 10, FALSE), 1)</f>
        <v>1.1499224461592586E-4</v>
      </c>
      <c r="E6" s="7">
        <f>$B6 * IFERROR(VLOOKUP("LULUCF|NOx|Asthma symptoms cough", US_national_yearly!$D:$AM, 13, FALSE) / VLOOKUP("LULUCF|NOx|Asthma symptoms cough", US_national_yearly!$D:$AM, 10, FALSE), 1)</f>
        <v>1.1652253350269262E-4</v>
      </c>
      <c r="F6" s="7">
        <f>$B6 * IFERROR(VLOOKUP("LULUCF|NOx|Asthma symptoms cough", US_national_yearly!$D:$AM, 14, FALSE) / VLOOKUP("LULUCF|NOx|Asthma symptoms cough", US_national_yearly!$D:$AM, 10, FALSE), 1)</f>
        <v>1.1805282238945938E-4</v>
      </c>
      <c r="G6" s="7">
        <f>$B6 * IFERROR(VLOOKUP("LULUCF|NOx|Asthma symptoms cough", US_national_yearly!$D:$AM, 15, FALSE) / VLOOKUP("LULUCF|NOx|Asthma symptoms cough", US_national_yearly!$D:$AM, 10, FALSE), 1)</f>
        <v>1.1927454422211787E-4</v>
      </c>
      <c r="H6" s="7">
        <f>$B6 * IFERROR(VLOOKUP("LULUCF|NOx|Asthma symptoms cough", US_national_yearly!$D:$AM, 16, FALSE) / VLOOKUP("LULUCF|NOx|Asthma symptoms cough", US_national_yearly!$D:$AM, 10, FALSE), 1)</f>
        <v>1.204962660547764E-4</v>
      </c>
      <c r="I6" s="7">
        <f>$B6 * IFERROR(VLOOKUP("LULUCF|NOx|Asthma symptoms cough", US_national_yearly!$D:$AM, 17, FALSE) / VLOOKUP("LULUCF|NOx|Asthma symptoms cough", US_national_yearly!$D:$AM, 10, FALSE), 1)</f>
        <v>1.2091676524414597E-4</v>
      </c>
      <c r="J6" s="7">
        <f>$B6 * IFERROR(VLOOKUP("LULUCF|NOx|Asthma symptoms cough", US_national_yearly!$D:$AM, 18, FALSE) / VLOOKUP("LULUCF|NOx|Asthma symptoms cough", US_national_yearly!$D:$AM, 10, FALSE), 1)</f>
        <v>1.2133726443351556E-4</v>
      </c>
      <c r="K6" s="7">
        <f>$B6 * IFERROR(VLOOKUP("LULUCF|NOx|Asthma symptoms cough", US_national_yearly!$D:$AM, 19, FALSE) / VLOOKUP("LULUCF|NOx|Asthma symptoms cough", US_national_yearly!$D:$AM, 10, FALSE), 1)</f>
        <v>1.2175776362288513E-4</v>
      </c>
      <c r="L6" s="7">
        <f>$B6 * IFERROR(VLOOKUP("LULUCF|NOx|Asthma symptoms cough", US_national_yearly!$D:$AM, 20, FALSE) / VLOOKUP("LULUCF|NOx|Asthma symptoms cough", US_national_yearly!$D:$AM, 10, FALSE), 1)</f>
        <v>1.221782628122547E-4</v>
      </c>
      <c r="M6" s="7">
        <f>$B6 * IFERROR(VLOOKUP("LULUCF|NOx|Asthma symptoms cough", US_national_yearly!$D:$AM, 21, FALSE) / VLOOKUP("LULUCF|NOx|Asthma symptoms cough", US_national_yearly!$D:$AM, 10, FALSE), 1)</f>
        <v>1.2259876200162428E-4</v>
      </c>
      <c r="N6" s="7">
        <f>$B6 * IFERROR(VLOOKUP("LULUCF|NOx|Asthma symptoms cough", US_national_yearly!$D:$AM, 22, FALSE) / VLOOKUP("LULUCF|NOx|Asthma symptoms cough", US_national_yearly!$D:$AM, 10, FALSE), 1)</f>
        <v>1.2308636212512482E-4</v>
      </c>
      <c r="O6" s="7">
        <f>$B6 * IFERROR(VLOOKUP("LULUCF|NOx|Asthma symptoms cough", US_national_yearly!$D:$AM, 23, FALSE) / VLOOKUP("LULUCF|NOx|Asthma symptoms cough", US_national_yearly!$D:$AM, 10, FALSE), 1)</f>
        <v>1.2357396224862535E-4</v>
      </c>
      <c r="P6" s="7">
        <f>$B6 * IFERROR(VLOOKUP("LULUCF|NOx|Asthma symptoms cough", US_national_yearly!$D:$AM, 24, FALSE) / VLOOKUP("LULUCF|NOx|Asthma symptoms cough", US_national_yearly!$D:$AM, 10, FALSE), 1)</f>
        <v>1.2406156237212588E-4</v>
      </c>
      <c r="Q6" s="7">
        <f>$B6 * IFERROR(VLOOKUP("LULUCF|NOx|Asthma symptoms cough", US_national_yearly!$D:$AM, 25, FALSE) / VLOOKUP("LULUCF|NOx|Asthma symptoms cough", US_national_yearly!$D:$AM, 10, FALSE), 1)</f>
        <v>1.2454916249562641E-4</v>
      </c>
      <c r="R6" s="7">
        <f>$B6 * IFERROR(VLOOKUP("LULUCF|NOx|Asthma symptoms cough", US_national_yearly!$D:$AM, 26, FALSE) / VLOOKUP("LULUCF|NOx|Asthma symptoms cough", US_national_yearly!$D:$AM, 10, FALSE), 1)</f>
        <v>1.2503676261912695E-4</v>
      </c>
      <c r="S6" s="7">
        <f>$B6 * IFERROR(VLOOKUP("LULUCF|NOx|Asthma symptoms cough", US_national_yearly!$D:$AM, 27, FALSE) / VLOOKUP("LULUCF|NOx|Asthma symptoms cough", US_national_yearly!$D:$AM, 10, FALSE), 1)</f>
        <v>1.2567372367990723E-4</v>
      </c>
      <c r="T6" s="7">
        <f>$B6 * IFERROR(VLOOKUP("LULUCF|NOx|Asthma symptoms cough", US_national_yearly!$D:$AM, 28, FALSE) / VLOOKUP("LULUCF|NOx|Asthma symptoms cough", US_national_yearly!$D:$AM, 10, FALSE), 1)</f>
        <v>1.2631068474068747E-4</v>
      </c>
      <c r="U6" s="7">
        <f>$B6 * IFERROR(VLOOKUP("LULUCF|NOx|Asthma symptoms cough", US_national_yearly!$D:$AM, 29, FALSE) / VLOOKUP("LULUCF|NOx|Asthma symptoms cough", US_national_yearly!$D:$AM, 10, FALSE), 1)</f>
        <v>1.269476458014677E-4</v>
      </c>
      <c r="V6" s="7">
        <f>$B6 * IFERROR(VLOOKUP("LULUCF|NOx|Asthma symptoms cough", US_national_yearly!$D:$AM, 30, FALSE) / VLOOKUP("LULUCF|NOx|Asthma symptoms cough", US_national_yearly!$D:$AM, 10, FALSE), 1)</f>
        <v>1.2758460686224796E-4</v>
      </c>
      <c r="W6" s="7">
        <f>$B6 * IFERROR(VLOOKUP("LULUCF|NOx|Asthma symptoms cough", US_national_yearly!$D:$AM, 31, FALSE) / VLOOKUP("LULUCF|NOx|Asthma symptoms cough", US_national_yearly!$D:$AM, 10, FALSE), 1)</f>
        <v>1.2822156792302819E-4</v>
      </c>
      <c r="X6" s="7">
        <f>$B6 * IFERROR(VLOOKUP("LULUCF|NOx|Asthma symptoms cough", US_national_yearly!$D:$AM, 32, FALSE) / VLOOKUP("LULUCF|NOx|Asthma symptoms cough", US_national_yearly!$D:$AM, 10, FALSE), 1)</f>
        <v>1.2881339627059192E-4</v>
      </c>
      <c r="Y6" s="7">
        <f>$B6 * IFERROR(VLOOKUP("LULUCF|NOx|Asthma symptoms cough", US_national_yearly!$D:$AM, 33, FALSE) / VLOOKUP("LULUCF|NOx|Asthma symptoms cough", US_national_yearly!$D:$AM, 10, FALSE), 1)</f>
        <v>1.2940522461815567E-4</v>
      </c>
      <c r="Z6" s="7">
        <f>$B6 * IFERROR(VLOOKUP("LULUCF|NOx|Asthma symptoms cough", US_national_yearly!$D:$AM, 34, FALSE) / VLOOKUP("LULUCF|NOx|Asthma symptoms cough", US_national_yearly!$D:$AM, 10, FALSE), 1)</f>
        <v>1.299970529657194E-4</v>
      </c>
      <c r="AA6" s="7">
        <f>$B6 * IFERROR(VLOOKUP("LULUCF|NOx|Asthma symptoms cough", US_national_yearly!$D:$AM, 35, FALSE) / VLOOKUP("LULUCF|NOx|Asthma symptoms cough", US_national_yearly!$D:$AM, 10, FALSE), 1)</f>
        <v>1.3058888131328313E-4</v>
      </c>
      <c r="AB6" s="7">
        <f>$B6 * IFERROR(VLOOKUP("LULUCF|NOx|Asthma symptoms cough", US_national_yearly!$D:$AM, 36, FALSE) / VLOOKUP("LULUCF|NOx|Asthma symptoms cough", US_national_yearly!$D:$AM, 10, FALSE), 1)</f>
        <v>1.3118070966084688E-4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1.5073236043421998E-4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1.5279311823739779E-4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1.5485387604057555E-4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1.5691463384375336E-4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1.5897539164693114E-4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1.6062061877989152E-4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1.6226584591285192E-4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1.6283210956943958E-4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1.6339837322602727E-4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1.6396463688261496E-4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1.6453090053920264E-4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1.6509716419579033E-4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1.6575378907593489E-4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1.6641041395607946E-4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1.67067038836224E-4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1.6772366371636856E-4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1.6838028859651313E-4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1.6923804982586036E-4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1.7009581105520763E-4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1.7095357228455487E-4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1.7181133351390208E-4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1.7266909474324932E-4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1.7346607817267978E-4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1.7426306160211026E-4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1.7506004503154075E-4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1.7585702846097123E-4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1.7665401189040169E-4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2.3029304156537683E-4</v>
      </c>
      <c r="C8" s="7">
        <f>$B8 * IFERROR(VLOOKUP("LULUCF|NOx|Asthma symptoms wheeze", US_national_yearly!$D:$AM, 11, FALSE) / VLOOKUP("LULUCF|NOx|Asthma symptoms wheeze", US_national_yearly!$D:$AM, 10, FALSE), 1)</f>
        <v>2.3344152396213592E-4</v>
      </c>
      <c r="D8" s="7">
        <f>$B8 * IFERROR(VLOOKUP("LULUCF|NOx|Asthma symptoms wheeze", US_national_yearly!$D:$AM, 12, FALSE) / VLOOKUP("LULUCF|NOx|Asthma symptoms wheeze", US_national_yearly!$D:$AM, 10, FALSE), 1)</f>
        <v>2.3659000635889508E-4</v>
      </c>
      <c r="E8" s="7">
        <f>$B8 * IFERROR(VLOOKUP("LULUCF|NOx|Asthma symptoms wheeze", US_national_yearly!$D:$AM, 13, FALSE) / VLOOKUP("LULUCF|NOx|Asthma symptoms wheeze", US_national_yearly!$D:$AM, 10, FALSE), 1)</f>
        <v>2.3973848875565417E-4</v>
      </c>
      <c r="F8" s="7">
        <f>$B8 * IFERROR(VLOOKUP("LULUCF|NOx|Asthma symptoms wheeze", US_national_yearly!$D:$AM, 14, FALSE) / VLOOKUP("LULUCF|NOx|Asthma symptoms wheeze", US_national_yearly!$D:$AM, 10, FALSE), 1)</f>
        <v>2.4288697115241323E-4</v>
      </c>
      <c r="G8" s="7">
        <f>$B8 * IFERROR(VLOOKUP("LULUCF|NOx|Asthma symptoms wheeze", US_national_yearly!$D:$AM, 15, FALSE) / VLOOKUP("LULUCF|NOx|Asthma symptoms wheeze", US_national_yearly!$D:$AM, 10, FALSE), 1)</f>
        <v>2.4540059437740727E-4</v>
      </c>
      <c r="H8" s="7">
        <f>$B8 * IFERROR(VLOOKUP("LULUCF|NOx|Asthma symptoms wheeze", US_national_yearly!$D:$AM, 16, FALSE) / VLOOKUP("LULUCF|NOx|Asthma symptoms wheeze", US_national_yearly!$D:$AM, 10, FALSE), 1)</f>
        <v>2.4791421760240128E-4</v>
      </c>
      <c r="I8" s="7">
        <f>$B8 * IFERROR(VLOOKUP("LULUCF|NOx|Asthma symptoms wheeze", US_national_yearly!$D:$AM, 17, FALSE) / VLOOKUP("LULUCF|NOx|Asthma symptoms wheeze", US_national_yearly!$D:$AM, 10, FALSE), 1)</f>
        <v>2.4877937078550698E-4</v>
      </c>
      <c r="J8" s="7">
        <f>$B8 * IFERROR(VLOOKUP("LULUCF|NOx|Asthma symptoms wheeze", US_national_yearly!$D:$AM, 18, FALSE) / VLOOKUP("LULUCF|NOx|Asthma symptoms wheeze", US_national_yearly!$D:$AM, 10, FALSE), 1)</f>
        <v>2.4964452396861273E-4</v>
      </c>
      <c r="K8" s="7">
        <f>$B8 * IFERROR(VLOOKUP("LULUCF|NOx|Asthma symptoms wheeze", US_national_yearly!$D:$AM, 19, FALSE) / VLOOKUP("LULUCF|NOx|Asthma symptoms wheeze", US_national_yearly!$D:$AM, 10, FALSE), 1)</f>
        <v>2.5050967715171837E-4</v>
      </c>
      <c r="L8" s="7">
        <f>$B8 * IFERROR(VLOOKUP("LULUCF|NOx|Asthma symptoms wheeze", US_national_yearly!$D:$AM, 20, FALSE) / VLOOKUP("LULUCF|NOx|Asthma symptoms wheeze", US_national_yearly!$D:$AM, 10, FALSE), 1)</f>
        <v>2.5137483033482413E-4</v>
      </c>
      <c r="M8" s="7">
        <f>$B8 * IFERROR(VLOOKUP("LULUCF|NOx|Asthma symptoms wheeze", US_national_yearly!$D:$AM, 21, FALSE) / VLOOKUP("LULUCF|NOx|Asthma symptoms wheeze", US_national_yearly!$D:$AM, 10, FALSE), 1)</f>
        <v>2.5223998351792977E-4</v>
      </c>
      <c r="N8" s="7">
        <f>$B8 * IFERROR(VLOOKUP("LULUCF|NOx|Asthma symptoms wheeze", US_national_yearly!$D:$AM, 22, FALSE) / VLOOKUP("LULUCF|NOx|Asthma symptoms wheeze", US_national_yearly!$D:$AM, 10, FALSE), 1)</f>
        <v>2.5324319305973649E-4</v>
      </c>
      <c r="O8" s="7">
        <f>$B8 * IFERROR(VLOOKUP("LULUCF|NOx|Asthma symptoms wheeze", US_national_yearly!$D:$AM, 23, FALSE) / VLOOKUP("LULUCF|NOx|Asthma symptoms wheeze", US_national_yearly!$D:$AM, 10, FALSE), 1)</f>
        <v>2.5424640260154321E-4</v>
      </c>
      <c r="P8" s="7">
        <f>$B8 * IFERROR(VLOOKUP("LULUCF|NOx|Asthma symptoms wheeze", US_national_yearly!$D:$AM, 24, FALSE) / VLOOKUP("LULUCF|NOx|Asthma symptoms wheeze", US_national_yearly!$D:$AM, 10, FALSE), 1)</f>
        <v>2.5524961214334988E-4</v>
      </c>
      <c r="Q8" s="7">
        <f>$B8 * IFERROR(VLOOKUP("LULUCF|NOx|Asthma symptoms wheeze", US_national_yearly!$D:$AM, 25, FALSE) / VLOOKUP("LULUCF|NOx|Asthma symptoms wheeze", US_national_yearly!$D:$AM, 10, FALSE), 1)</f>
        <v>2.562528216851566E-4</v>
      </c>
      <c r="R8" s="7">
        <f>$B8 * IFERROR(VLOOKUP("LULUCF|NOx|Asthma symptoms wheeze", US_national_yearly!$D:$AM, 26, FALSE) / VLOOKUP("LULUCF|NOx|Asthma symptoms wheeze", US_national_yearly!$D:$AM, 10, FALSE), 1)</f>
        <v>2.5725603122696327E-4</v>
      </c>
      <c r="S8" s="7">
        <f>$B8 * IFERROR(VLOOKUP("LULUCF|NOx|Asthma symptoms wheeze", US_national_yearly!$D:$AM, 27, FALSE) / VLOOKUP("LULUCF|NOx|Asthma symptoms wheeze", US_national_yearly!$D:$AM, 10, FALSE), 1)</f>
        <v>2.5856654240765791E-4</v>
      </c>
      <c r="T8" s="7">
        <f>$B8 * IFERROR(VLOOKUP("LULUCF|NOx|Asthma symptoms wheeze", US_national_yearly!$D:$AM, 28, FALSE) / VLOOKUP("LULUCF|NOx|Asthma symptoms wheeze", US_national_yearly!$D:$AM, 10, FALSE), 1)</f>
        <v>2.5987705358835255E-4</v>
      </c>
      <c r="U8" s="7">
        <f>$B8 * IFERROR(VLOOKUP("LULUCF|NOx|Asthma symptoms wheeze", US_national_yearly!$D:$AM, 29, FALSE) / VLOOKUP("LULUCF|NOx|Asthma symptoms wheeze", US_national_yearly!$D:$AM, 10, FALSE), 1)</f>
        <v>2.6118756476904719E-4</v>
      </c>
      <c r="V8" s="7">
        <f>$B8 * IFERROR(VLOOKUP("LULUCF|NOx|Asthma symptoms wheeze", US_national_yearly!$D:$AM, 30, FALSE) / VLOOKUP("LULUCF|NOx|Asthma symptoms wheeze", US_national_yearly!$D:$AM, 10, FALSE), 1)</f>
        <v>2.6249807594974189E-4</v>
      </c>
      <c r="W8" s="7">
        <f>$B8 * IFERROR(VLOOKUP("LULUCF|NOx|Asthma symptoms wheeze", US_national_yearly!$D:$AM, 31, FALSE) / VLOOKUP("LULUCF|NOx|Asthma symptoms wheeze", US_national_yearly!$D:$AM, 10, FALSE), 1)</f>
        <v>2.6380858713043648E-4</v>
      </c>
      <c r="X8" s="7">
        <f>$B8 * IFERROR(VLOOKUP("LULUCF|NOx|Asthma symptoms wheeze", US_national_yearly!$D:$AM, 32, FALSE) / VLOOKUP("LULUCF|NOx|Asthma symptoms wheeze", US_national_yearly!$D:$AM, 10, FALSE), 1)</f>
        <v>2.6502624031840484E-4</v>
      </c>
      <c r="Y8" s="7">
        <f>$B8 * IFERROR(VLOOKUP("LULUCF|NOx|Asthma symptoms wheeze", US_national_yearly!$D:$AM, 33, FALSE) / VLOOKUP("LULUCF|NOx|Asthma symptoms wheeze", US_national_yearly!$D:$AM, 10, FALSE), 1)</f>
        <v>2.6624389350637316E-4</v>
      </c>
      <c r="Z8" s="7">
        <f>$B8 * IFERROR(VLOOKUP("LULUCF|NOx|Asthma symptoms wheeze", US_national_yearly!$D:$AM, 34, FALSE) / VLOOKUP("LULUCF|NOx|Asthma symptoms wheeze", US_national_yearly!$D:$AM, 10, FALSE), 1)</f>
        <v>2.6746154669434152E-4</v>
      </c>
      <c r="AA8" s="7">
        <f>$B8 * IFERROR(VLOOKUP("LULUCF|NOx|Asthma symptoms wheeze", US_national_yearly!$D:$AM, 35, FALSE) / VLOOKUP("LULUCF|NOx|Asthma symptoms wheeze", US_national_yearly!$D:$AM, 10, FALSE), 1)</f>
        <v>2.6867919988230989E-4</v>
      </c>
      <c r="AB8" s="7">
        <f>$B8 * IFERROR(VLOOKUP("LULUCF|NOx|Asthma symptoms wheeze", US_national_yearly!$D:$AM, 36, FALSE) / VLOOKUP("LULUCF|NOx|Asthma symptoms wheeze", US_national_yearly!$D:$AM, 10, FALSE), 1)</f>
        <v>2.6989685307027825E-4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4.2538223823842954E-6</v>
      </c>
      <c r="C12" s="7">
        <f>$B12 * IFERROR(VLOOKUP("LULUCF|NOx|Respiratory hospital admissions", US_national_yearly!$D:$AM, 11, FALSE) / VLOOKUP("LULUCF|NOx|Respiratory hospital admissions", US_national_yearly!$D:$AM, 10, FALSE), 1)</f>
        <v>4.3599325554172544E-6</v>
      </c>
      <c r="D12" s="7">
        <f>$B12 * IFERROR(VLOOKUP("LULUCF|NOx|Respiratory hospital admissions", US_national_yearly!$D:$AM, 12, FALSE) / VLOOKUP("LULUCF|NOx|Respiratory hospital admissions", US_national_yearly!$D:$AM, 10, FALSE), 1)</f>
        <v>4.4660427284502142E-6</v>
      </c>
      <c r="E12" s="7">
        <f>$B12 * IFERROR(VLOOKUP("LULUCF|NOx|Respiratory hospital admissions", US_national_yearly!$D:$AM, 13, FALSE) / VLOOKUP("LULUCF|NOx|Respiratory hospital admissions", US_national_yearly!$D:$AM, 10, FALSE), 1)</f>
        <v>4.572152901483174E-6</v>
      </c>
      <c r="F12" s="7">
        <f>$B12 * IFERROR(VLOOKUP("LULUCF|NOx|Respiratory hospital admissions", US_national_yearly!$D:$AM, 14, FALSE) / VLOOKUP("LULUCF|NOx|Respiratory hospital admissions", US_national_yearly!$D:$AM, 10, FALSE), 1)</f>
        <v>4.6782630745161339E-6</v>
      </c>
      <c r="G12" s="7">
        <f>$B12 * IFERROR(VLOOKUP("LULUCF|NOx|Respiratory hospital admissions", US_national_yearly!$D:$AM, 15, FALSE) / VLOOKUP("LULUCF|NOx|Respiratory hospital admissions", US_national_yearly!$D:$AM, 10, FALSE), 1)</f>
        <v>4.7797080114960306E-6</v>
      </c>
      <c r="H12" s="7">
        <f>$B12 * IFERROR(VLOOKUP("LULUCF|NOx|Respiratory hospital admissions", US_national_yearly!$D:$AM, 16, FALSE) / VLOOKUP("LULUCF|NOx|Respiratory hospital admissions", US_national_yearly!$D:$AM, 10, FALSE), 1)</f>
        <v>4.8811529484759266E-6</v>
      </c>
      <c r="I12" s="7">
        <f>$B12 * IFERROR(VLOOKUP("LULUCF|NOx|Respiratory hospital admissions", US_national_yearly!$D:$AM, 17, FALSE) / VLOOKUP("LULUCF|NOx|Respiratory hospital admissions", US_national_yearly!$D:$AM, 10, FALSE), 1)</f>
        <v>4.9672817854687084E-6</v>
      </c>
      <c r="J12" s="7">
        <f>$B12 * IFERROR(VLOOKUP("LULUCF|NOx|Respiratory hospital admissions", US_national_yearly!$D:$AM, 18, FALSE) / VLOOKUP("LULUCF|NOx|Respiratory hospital admissions", US_national_yearly!$D:$AM, 10, FALSE), 1)</f>
        <v>5.0534106224614902E-6</v>
      </c>
      <c r="K12" s="7">
        <f>$B12 * IFERROR(VLOOKUP("LULUCF|NOx|Respiratory hospital admissions", US_national_yearly!$D:$AM, 19, FALSE) / VLOOKUP("LULUCF|NOx|Respiratory hospital admissions", US_national_yearly!$D:$AM, 10, FALSE), 1)</f>
        <v>5.139539459454272E-6</v>
      </c>
      <c r="L12" s="7">
        <f>$B12 * IFERROR(VLOOKUP("LULUCF|NOx|Respiratory hospital admissions", US_national_yearly!$D:$AM, 20, FALSE) / VLOOKUP("LULUCF|NOx|Respiratory hospital admissions", US_national_yearly!$D:$AM, 10, FALSE), 1)</f>
        <v>5.2256682964470547E-6</v>
      </c>
      <c r="M12" s="7">
        <f>$B12 * IFERROR(VLOOKUP("LULUCF|NOx|Respiratory hospital admissions", US_national_yearly!$D:$AM, 21, FALSE) / VLOOKUP("LULUCF|NOx|Respiratory hospital admissions", US_national_yearly!$D:$AM, 10, FALSE), 1)</f>
        <v>5.3117971334398373E-6</v>
      </c>
      <c r="N12" s="7">
        <f>$B12 * IFERROR(VLOOKUP("LULUCF|NOx|Respiratory hospital admissions", US_national_yearly!$D:$AM, 22, FALSE) / VLOOKUP("LULUCF|NOx|Respiratory hospital admissions", US_national_yearly!$D:$AM, 10, FALSE), 1)</f>
        <v>5.3693758116812688E-6</v>
      </c>
      <c r="O12" s="7">
        <f>$B12 * IFERROR(VLOOKUP("LULUCF|NOx|Respiratory hospital admissions", US_national_yearly!$D:$AM, 23, FALSE) / VLOOKUP("LULUCF|NOx|Respiratory hospital admissions", US_national_yearly!$D:$AM, 10, FALSE), 1)</f>
        <v>5.4269544899227029E-6</v>
      </c>
      <c r="P12" s="7">
        <f>$B12 * IFERROR(VLOOKUP("LULUCF|NOx|Respiratory hospital admissions", US_national_yearly!$D:$AM, 24, FALSE) / VLOOKUP("LULUCF|NOx|Respiratory hospital admissions", US_national_yearly!$D:$AM, 10, FALSE), 1)</f>
        <v>5.4845331681641361E-6</v>
      </c>
      <c r="Q12" s="7">
        <f>$B12 * IFERROR(VLOOKUP("LULUCF|NOx|Respiratory hospital admissions", US_national_yearly!$D:$AM, 25, FALSE) / VLOOKUP("LULUCF|NOx|Respiratory hospital admissions", US_national_yearly!$D:$AM, 10, FALSE), 1)</f>
        <v>5.5421118464055702E-6</v>
      </c>
      <c r="R12" s="7">
        <f>$B12 * IFERROR(VLOOKUP("LULUCF|NOx|Respiratory hospital admissions", US_national_yearly!$D:$AM, 26, FALSE) / VLOOKUP("LULUCF|NOx|Respiratory hospital admissions", US_national_yearly!$D:$AM, 10, FALSE), 1)</f>
        <v>5.5996905246470034E-6</v>
      </c>
      <c r="S12" s="7">
        <f>$B12 * IFERROR(VLOOKUP("LULUCF|NOx|Respiratory hospital admissions", US_national_yearly!$D:$AM, 27, FALSE) / VLOOKUP("LULUCF|NOx|Respiratory hospital admissions", US_national_yearly!$D:$AM, 10, FALSE), 1)</f>
        <v>5.6305396202473055E-6</v>
      </c>
      <c r="T12" s="7">
        <f>$B12 * IFERROR(VLOOKUP("LULUCF|NOx|Respiratory hospital admissions", US_national_yearly!$D:$AM, 28, FALSE) / VLOOKUP("LULUCF|NOx|Respiratory hospital admissions", US_national_yearly!$D:$AM, 10, FALSE), 1)</f>
        <v>5.6613887158476085E-6</v>
      </c>
      <c r="U12" s="7">
        <f>$B12 * IFERROR(VLOOKUP("LULUCF|NOx|Respiratory hospital admissions", US_national_yearly!$D:$AM, 29, FALSE) / VLOOKUP("LULUCF|NOx|Respiratory hospital admissions", US_national_yearly!$D:$AM, 10, FALSE), 1)</f>
        <v>5.6922378114479114E-6</v>
      </c>
      <c r="V12" s="7">
        <f>$B12 * IFERROR(VLOOKUP("LULUCF|NOx|Respiratory hospital admissions", US_national_yearly!$D:$AM, 30, FALSE) / VLOOKUP("LULUCF|NOx|Respiratory hospital admissions", US_national_yearly!$D:$AM, 10, FALSE), 1)</f>
        <v>5.7230869070482135E-6</v>
      </c>
      <c r="W12" s="7">
        <f>$B12 * IFERROR(VLOOKUP("LULUCF|NOx|Respiratory hospital admissions", US_national_yearly!$D:$AM, 31, FALSE) / VLOOKUP("LULUCF|NOx|Respiratory hospital admissions", US_national_yearly!$D:$AM, 10, FALSE), 1)</f>
        <v>5.7539360026485173E-6</v>
      </c>
      <c r="X12" s="7">
        <f>$B12 * IFERROR(VLOOKUP("LULUCF|NOx|Respiratory hospital admissions", US_national_yearly!$D:$AM, 32, FALSE) / VLOOKUP("LULUCF|NOx|Respiratory hospital admissions", US_national_yearly!$D:$AM, 10, FALSE), 1)</f>
        <v>5.7750173516852587E-6</v>
      </c>
      <c r="Y12" s="7">
        <f>$B12 * IFERROR(VLOOKUP("LULUCF|NOx|Respiratory hospital admissions", US_national_yearly!$D:$AM, 33, FALSE) / VLOOKUP("LULUCF|NOx|Respiratory hospital admissions", US_national_yearly!$D:$AM, 10, FALSE), 1)</f>
        <v>5.7960987007220018E-6</v>
      </c>
      <c r="Z12" s="7">
        <f>$B12 * IFERROR(VLOOKUP("LULUCF|NOx|Respiratory hospital admissions", US_national_yearly!$D:$AM, 34, FALSE) / VLOOKUP("LULUCF|NOx|Respiratory hospital admissions", US_national_yearly!$D:$AM, 10, FALSE), 1)</f>
        <v>5.8171800497587441E-6</v>
      </c>
      <c r="AA12" s="7">
        <f>$B12 * IFERROR(VLOOKUP("LULUCF|NOx|Respiratory hospital admissions", US_national_yearly!$D:$AM, 35, FALSE) / VLOOKUP("LULUCF|NOx|Respiratory hospital admissions", US_national_yearly!$D:$AM, 10, FALSE), 1)</f>
        <v>5.8382613987954872E-6</v>
      </c>
      <c r="AB12" s="7">
        <f>$B12 * IFERROR(VLOOKUP("LULUCF|NOx|Respiratory hospital admissions", US_national_yearly!$D:$AM, 36, FALSE) / VLOOKUP("LULUCF|NOx|Respiratory hospital admissions", US_national_yearly!$D:$AM, 10, FALSE), 1)</f>
        <v>5.8593427478322286E-6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2.4870151531324815E-5</v>
      </c>
      <c r="C13" s="7">
        <f>$B13 * IFERROR(VLOOKUP("LULUCF|NOx|Non-fatal heart attacks", US_national_yearly!$D:$AM, 11, FALSE) / VLOOKUP("LULUCF|NOx|Non-fatal heart attacks", US_national_yearly!$D:$AM, 10, FALSE), 1)</f>
        <v>2.5581167251603857E-5</v>
      </c>
      <c r="D13" s="7">
        <f>$B13 * IFERROR(VLOOKUP("LULUCF|NOx|Non-fatal heart attacks", US_national_yearly!$D:$AM, 12, FALSE) / VLOOKUP("LULUCF|NOx|Non-fatal heart attacks", US_national_yearly!$D:$AM, 10, FALSE), 1)</f>
        <v>2.6292182971882896E-5</v>
      </c>
      <c r="E13" s="7">
        <f>$B13 * IFERROR(VLOOKUP("LULUCF|NOx|Non-fatal heart attacks", US_national_yearly!$D:$AM, 13, FALSE) / VLOOKUP("LULUCF|NOx|Non-fatal heart attacks", US_national_yearly!$D:$AM, 10, FALSE), 1)</f>
        <v>2.7003198692161932E-5</v>
      </c>
      <c r="F13" s="7">
        <f>$B13 * IFERROR(VLOOKUP("LULUCF|NOx|Non-fatal heart attacks", US_national_yearly!$D:$AM, 14, FALSE) / VLOOKUP("LULUCF|NOx|Non-fatal heart attacks", US_national_yearly!$D:$AM, 10, FALSE), 1)</f>
        <v>2.7714214412440974E-5</v>
      </c>
      <c r="G13" s="7">
        <f>$B13 * IFERROR(VLOOKUP("LULUCF|NOx|Non-fatal heart attacks", US_national_yearly!$D:$AM, 15, FALSE) / VLOOKUP("LULUCF|NOx|Non-fatal heart attacks", US_national_yearly!$D:$AM, 10, FALSE), 1)</f>
        <v>2.8378657125304266E-5</v>
      </c>
      <c r="H13" s="7">
        <f>$B13 * IFERROR(VLOOKUP("LULUCF|NOx|Non-fatal heart attacks", US_national_yearly!$D:$AM, 16, FALSE) / VLOOKUP("LULUCF|NOx|Non-fatal heart attacks", US_national_yearly!$D:$AM, 10, FALSE), 1)</f>
        <v>2.9043099838167555E-5</v>
      </c>
      <c r="I13" s="7">
        <f>$B13 * IFERROR(VLOOKUP("LULUCF|NOx|Non-fatal heart attacks", US_national_yearly!$D:$AM, 17, FALSE) / VLOOKUP("LULUCF|NOx|Non-fatal heart attacks", US_national_yearly!$D:$AM, 10, FALSE), 1)</f>
        <v>2.9566936964206083E-5</v>
      </c>
      <c r="J13" s="7">
        <f>$B13 * IFERROR(VLOOKUP("LULUCF|NOx|Non-fatal heart attacks", US_national_yearly!$D:$AM, 18, FALSE) / VLOOKUP("LULUCF|NOx|Non-fatal heart attacks", US_national_yearly!$D:$AM, 10, FALSE), 1)</f>
        <v>3.0090774090244614E-5</v>
      </c>
      <c r="K13" s="7">
        <f>$B13 * IFERROR(VLOOKUP("LULUCF|NOx|Non-fatal heart attacks", US_national_yearly!$D:$AM, 19, FALSE) / VLOOKUP("LULUCF|NOx|Non-fatal heart attacks", US_national_yearly!$D:$AM, 10, FALSE), 1)</f>
        <v>3.0614611216283121E-5</v>
      </c>
      <c r="L13" s="7">
        <f>$B13 * IFERROR(VLOOKUP("LULUCF|NOx|Non-fatal heart attacks", US_national_yearly!$D:$AM, 20, FALSE) / VLOOKUP("LULUCF|NOx|Non-fatal heart attacks", US_national_yearly!$D:$AM, 10, FALSE), 1)</f>
        <v>3.1138448342321669E-5</v>
      </c>
      <c r="M13" s="7">
        <f>$B13 * IFERROR(VLOOKUP("LULUCF|NOx|Non-fatal heart attacks", US_national_yearly!$D:$AM, 21, FALSE) / VLOOKUP("LULUCF|NOx|Non-fatal heart attacks", US_national_yearly!$D:$AM, 10, FALSE), 1)</f>
        <v>3.1662285468360189E-5</v>
      </c>
      <c r="N13" s="7">
        <f>$B13 * IFERROR(VLOOKUP("LULUCF|NOx|Non-fatal heart attacks", US_national_yearly!$D:$AM, 22, FALSE) / VLOOKUP("LULUCF|NOx|Non-fatal heart attacks", US_national_yearly!$D:$AM, 10, FALSE), 1)</f>
        <v>3.1977441769572288E-5</v>
      </c>
      <c r="O13" s="7">
        <f>$B13 * IFERROR(VLOOKUP("LULUCF|NOx|Non-fatal heart attacks", US_national_yearly!$D:$AM, 23, FALSE) / VLOOKUP("LULUCF|NOx|Non-fatal heart attacks", US_national_yearly!$D:$AM, 10, FALSE), 1)</f>
        <v>3.2292598070784393E-5</v>
      </c>
      <c r="P13" s="7">
        <f>$B13 * IFERROR(VLOOKUP("LULUCF|NOx|Non-fatal heart attacks", US_national_yearly!$D:$AM, 24, FALSE) / VLOOKUP("LULUCF|NOx|Non-fatal heart attacks", US_national_yearly!$D:$AM, 10, FALSE), 1)</f>
        <v>3.2607754371996491E-5</v>
      </c>
      <c r="Q13" s="7">
        <f>$B13 * IFERROR(VLOOKUP("LULUCF|NOx|Non-fatal heart attacks", US_national_yearly!$D:$AM, 25, FALSE) / VLOOKUP("LULUCF|NOx|Non-fatal heart attacks", US_national_yearly!$D:$AM, 10, FALSE), 1)</f>
        <v>3.2922910673208597E-5</v>
      </c>
      <c r="R13" s="7">
        <f>$B13 * IFERROR(VLOOKUP("LULUCF|NOx|Non-fatal heart attacks", US_national_yearly!$D:$AM, 26, FALSE) / VLOOKUP("LULUCF|NOx|Non-fatal heart attacks", US_national_yearly!$D:$AM, 10, FALSE), 1)</f>
        <v>3.3238066974420702E-5</v>
      </c>
      <c r="S13" s="7">
        <f>$B13 * IFERROR(VLOOKUP("LULUCF|NOx|Non-fatal heart attacks", US_national_yearly!$D:$AM, 27, FALSE) / VLOOKUP("LULUCF|NOx|Non-fatal heart attacks", US_national_yearly!$D:$AM, 10, FALSE), 1)</f>
        <v>3.3381024052388727E-5</v>
      </c>
      <c r="T13" s="7">
        <f>$B13 * IFERROR(VLOOKUP("LULUCF|NOx|Non-fatal heart attacks", US_national_yearly!$D:$AM, 28, FALSE) / VLOOKUP("LULUCF|NOx|Non-fatal heart attacks", US_national_yearly!$D:$AM, 10, FALSE), 1)</f>
        <v>3.3523981130356759E-5</v>
      </c>
      <c r="U13" s="7">
        <f>$B13 * IFERROR(VLOOKUP("LULUCF|NOx|Non-fatal heart attacks", US_national_yearly!$D:$AM, 29, FALSE) / VLOOKUP("LULUCF|NOx|Non-fatal heart attacks", US_national_yearly!$D:$AM, 10, FALSE), 1)</f>
        <v>3.3666938208324791E-5</v>
      </c>
      <c r="V13" s="7">
        <f>$B13 * IFERROR(VLOOKUP("LULUCF|NOx|Non-fatal heart attacks", US_national_yearly!$D:$AM, 30, FALSE) / VLOOKUP("LULUCF|NOx|Non-fatal heart attacks", US_national_yearly!$D:$AM, 10, FALSE), 1)</f>
        <v>3.3809895286292822E-5</v>
      </c>
      <c r="W13" s="7">
        <f>$B13 * IFERROR(VLOOKUP("LULUCF|NOx|Non-fatal heart attacks", US_national_yearly!$D:$AM, 31, FALSE) / VLOOKUP("LULUCF|NOx|Non-fatal heart attacks", US_national_yearly!$D:$AM, 10, FALSE), 1)</f>
        <v>3.3952852364260854E-5</v>
      </c>
      <c r="X13" s="7">
        <f>$B13 * IFERROR(VLOOKUP("LULUCF|NOx|Non-fatal heart attacks", US_national_yearly!$D:$AM, 32, FALSE) / VLOOKUP("LULUCF|NOx|Non-fatal heart attacks", US_national_yearly!$D:$AM, 10, FALSE), 1)</f>
        <v>3.4048383805904711E-5</v>
      </c>
      <c r="Y13" s="7">
        <f>$B13 * IFERROR(VLOOKUP("LULUCF|NOx|Non-fatal heart attacks", US_national_yearly!$D:$AM, 33, FALSE) / VLOOKUP("LULUCF|NOx|Non-fatal heart attacks", US_national_yearly!$D:$AM, 10, FALSE), 1)</f>
        <v>3.4143915247548575E-5</v>
      </c>
      <c r="Z13" s="7">
        <f>$B13 * IFERROR(VLOOKUP("LULUCF|NOx|Non-fatal heart attacks", US_national_yearly!$D:$AM, 34, FALSE) / VLOOKUP("LULUCF|NOx|Non-fatal heart attacks", US_national_yearly!$D:$AM, 10, FALSE), 1)</f>
        <v>3.4239446689192432E-5</v>
      </c>
      <c r="AA13" s="7">
        <f>$B13 * IFERROR(VLOOKUP("LULUCF|NOx|Non-fatal heart attacks", US_national_yearly!$D:$AM, 35, FALSE) / VLOOKUP("LULUCF|NOx|Non-fatal heart attacks", US_national_yearly!$D:$AM, 10, FALSE), 1)</f>
        <v>3.4334978130836289E-5</v>
      </c>
      <c r="AB13" s="7">
        <f>$B13 * IFERROR(VLOOKUP("LULUCF|NOx|Non-fatal heart attacks", US_national_yearly!$D:$AM, 36, FALSE) / VLOOKUP("LULUCF|NOx|Non-fatal heart attacks", US_national_yearly!$D:$AM, 10, FALSE), 1)</f>
        <v>3.4430509572480153E-5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1.6494509836789493E-2</v>
      </c>
      <c r="C14" s="7">
        <f>$B14 * IFERROR(VLOOKUP("LULUCF|NOx|Minor restricted activity days", US_national_yearly!$D:$AM, 11, FALSE) / VLOOKUP("LULUCF|NOx|Minor restricted activity days", US_national_yearly!$D:$AM, 10, FALSE), 1)</f>
        <v>1.6519798688455208E-2</v>
      </c>
      <c r="D14" s="7">
        <f>$B14 * IFERROR(VLOOKUP("LULUCF|NOx|Minor restricted activity days", US_national_yearly!$D:$AM, 12, FALSE) / VLOOKUP("LULUCF|NOx|Minor restricted activity days", US_national_yearly!$D:$AM, 10, FALSE), 1)</f>
        <v>1.6545087540120927E-2</v>
      </c>
      <c r="E14" s="7">
        <f>$B14 * IFERROR(VLOOKUP("LULUCF|NOx|Minor restricted activity days", US_national_yearly!$D:$AM, 13, FALSE) / VLOOKUP("LULUCF|NOx|Minor restricted activity days", US_national_yearly!$D:$AM, 10, FALSE), 1)</f>
        <v>1.6570376391786646E-2</v>
      </c>
      <c r="F14" s="7">
        <f>$B14 * IFERROR(VLOOKUP("LULUCF|NOx|Minor restricted activity days", US_national_yearly!$D:$AM, 14, FALSE) / VLOOKUP("LULUCF|NOx|Minor restricted activity days", US_national_yearly!$D:$AM, 10, FALSE), 1)</f>
        <v>1.6595665243452361E-2</v>
      </c>
      <c r="G14" s="7">
        <f>$B14 * IFERROR(VLOOKUP("LULUCF|NOx|Minor restricted activity days", US_national_yearly!$D:$AM, 15, FALSE) / VLOOKUP("LULUCF|NOx|Minor restricted activity days", US_national_yearly!$D:$AM, 10, FALSE), 1)</f>
        <v>1.6641330890296721E-2</v>
      </c>
      <c r="H14" s="7">
        <f>$B14 * IFERROR(VLOOKUP("LULUCF|NOx|Minor restricted activity days", US_national_yearly!$D:$AM, 16, FALSE) / VLOOKUP("LULUCF|NOx|Minor restricted activity days", US_national_yearly!$D:$AM, 10, FALSE), 1)</f>
        <v>1.6686996537141077E-2</v>
      </c>
      <c r="I14" s="7">
        <f>$B14 * IFERROR(VLOOKUP("LULUCF|NOx|Minor restricted activity days", US_national_yearly!$D:$AM, 17, FALSE) / VLOOKUP("LULUCF|NOx|Minor restricted activity days", US_national_yearly!$D:$AM, 10, FALSE), 1)</f>
        <v>1.6776316736562113E-2</v>
      </c>
      <c r="J14" s="7">
        <f>$B14 * IFERROR(VLOOKUP("LULUCF|NOx|Minor restricted activity days", US_national_yearly!$D:$AM, 18, FALSE) / VLOOKUP("LULUCF|NOx|Minor restricted activity days", US_national_yearly!$D:$AM, 10, FALSE), 1)</f>
        <v>1.6865636935983148E-2</v>
      </c>
      <c r="K14" s="7">
        <f>$B14 * IFERROR(VLOOKUP("LULUCF|NOx|Minor restricted activity days", US_national_yearly!$D:$AM, 19, FALSE) / VLOOKUP("LULUCF|NOx|Minor restricted activity days", US_national_yearly!$D:$AM, 10, FALSE), 1)</f>
        <v>1.6954957135404184E-2</v>
      </c>
      <c r="L14" s="7">
        <f>$B14 * IFERROR(VLOOKUP("LULUCF|NOx|Minor restricted activity days", US_national_yearly!$D:$AM, 20, FALSE) / VLOOKUP("LULUCF|NOx|Minor restricted activity days", US_national_yearly!$D:$AM, 10, FALSE), 1)</f>
        <v>1.7044277334825216E-2</v>
      </c>
      <c r="M14" s="7">
        <f>$B14 * IFERROR(VLOOKUP("LULUCF|NOx|Minor restricted activity days", US_national_yearly!$D:$AM, 21, FALSE) / VLOOKUP("LULUCF|NOx|Minor restricted activity days", US_national_yearly!$D:$AM, 10, FALSE), 1)</f>
        <v>1.7133597534246252E-2</v>
      </c>
      <c r="N14" s="7">
        <f>$B14 * IFERROR(VLOOKUP("LULUCF|NOx|Minor restricted activity days", US_national_yearly!$D:$AM, 22, FALSE) / VLOOKUP("LULUCF|NOx|Minor restricted activity days", US_national_yearly!$D:$AM, 10, FALSE), 1)</f>
        <v>1.726148380690062E-2</v>
      </c>
      <c r="O14" s="7">
        <f>$B14 * IFERROR(VLOOKUP("LULUCF|NOx|Minor restricted activity days", US_national_yearly!$D:$AM, 23, FALSE) / VLOOKUP("LULUCF|NOx|Minor restricted activity days", US_national_yearly!$D:$AM, 10, FALSE), 1)</f>
        <v>1.7389370079554992E-2</v>
      </c>
      <c r="P14" s="7">
        <f>$B14 * IFERROR(VLOOKUP("LULUCF|NOx|Minor restricted activity days", US_national_yearly!$D:$AM, 24, FALSE) / VLOOKUP("LULUCF|NOx|Minor restricted activity days", US_national_yearly!$D:$AM, 10, FALSE), 1)</f>
        <v>1.7517256352209361E-2</v>
      </c>
      <c r="Q14" s="7">
        <f>$B14 * IFERROR(VLOOKUP("LULUCF|NOx|Minor restricted activity days", US_national_yearly!$D:$AM, 25, FALSE) / VLOOKUP("LULUCF|NOx|Minor restricted activity days", US_national_yearly!$D:$AM, 10, FALSE), 1)</f>
        <v>1.7645142624863733E-2</v>
      </c>
      <c r="R14" s="7">
        <f>$B14 * IFERROR(VLOOKUP("LULUCF|NOx|Minor restricted activity days", US_national_yearly!$D:$AM, 26, FALSE) / VLOOKUP("LULUCF|NOx|Minor restricted activity days", US_national_yearly!$D:$AM, 10, FALSE), 1)</f>
        <v>1.7773028897518101E-2</v>
      </c>
      <c r="S14" s="7">
        <f>$B14 * IFERROR(VLOOKUP("LULUCF|NOx|Minor restricted activity days", US_national_yearly!$D:$AM, 27, FALSE) / VLOOKUP("LULUCF|NOx|Minor restricted activity days", US_national_yearly!$D:$AM, 10, FALSE), 1)</f>
        <v>1.7900888282357367E-2</v>
      </c>
      <c r="T14" s="7">
        <f>$B14 * IFERROR(VLOOKUP("LULUCF|NOx|Minor restricted activity days", US_national_yearly!$D:$AM, 28, FALSE) / VLOOKUP("LULUCF|NOx|Minor restricted activity days", US_national_yearly!$D:$AM, 10, FALSE), 1)</f>
        <v>1.8028747667196629E-2</v>
      </c>
      <c r="U14" s="7">
        <f>$B14 * IFERROR(VLOOKUP("LULUCF|NOx|Minor restricted activity days", US_national_yearly!$D:$AM, 29, FALSE) / VLOOKUP("LULUCF|NOx|Minor restricted activity days", US_national_yearly!$D:$AM, 10, FALSE), 1)</f>
        <v>1.8156607052035895E-2</v>
      </c>
      <c r="V14" s="7">
        <f>$B14 * IFERROR(VLOOKUP("LULUCF|NOx|Minor restricted activity days", US_national_yearly!$D:$AM, 30, FALSE) / VLOOKUP("LULUCF|NOx|Minor restricted activity days", US_national_yearly!$D:$AM, 10, FALSE), 1)</f>
        <v>1.8284466436875157E-2</v>
      </c>
      <c r="W14" s="7">
        <f>$B14 * IFERROR(VLOOKUP("LULUCF|NOx|Minor restricted activity days", US_national_yearly!$D:$AM, 31, FALSE) / VLOOKUP("LULUCF|NOx|Minor restricted activity days", US_national_yearly!$D:$AM, 10, FALSE), 1)</f>
        <v>1.8412325821714419E-2</v>
      </c>
      <c r="X14" s="7">
        <f>$B14 * IFERROR(VLOOKUP("LULUCF|NOx|Minor restricted activity days", US_national_yearly!$D:$AM, 32, FALSE) / VLOOKUP("LULUCF|NOx|Minor restricted activity days", US_national_yearly!$D:$AM, 10, FALSE), 1)</f>
        <v>1.8520426060686646E-2</v>
      </c>
      <c r="Y14" s="7">
        <f>$B14 * IFERROR(VLOOKUP("LULUCF|NOx|Minor restricted activity days", US_national_yearly!$D:$AM, 33, FALSE) / VLOOKUP("LULUCF|NOx|Minor restricted activity days", US_national_yearly!$D:$AM, 10, FALSE), 1)</f>
        <v>1.8628526299658874E-2</v>
      </c>
      <c r="Z14" s="7">
        <f>$B14 * IFERROR(VLOOKUP("LULUCF|NOx|Minor restricted activity days", US_national_yearly!$D:$AM, 34, FALSE) / VLOOKUP("LULUCF|NOx|Minor restricted activity days", US_national_yearly!$D:$AM, 10, FALSE), 1)</f>
        <v>1.8736626538631097E-2</v>
      </c>
      <c r="AA14" s="7">
        <f>$B14 * IFERROR(VLOOKUP("LULUCF|NOx|Minor restricted activity days", US_national_yearly!$D:$AM, 35, FALSE) / VLOOKUP("LULUCF|NOx|Minor restricted activity days", US_national_yearly!$D:$AM, 10, FALSE), 1)</f>
        <v>1.8844726777603325E-2</v>
      </c>
      <c r="AB14" s="7">
        <f>$B14 * IFERROR(VLOOKUP("LULUCF|NOx|Minor restricted activity days", US_national_yearly!$D:$AM, 36, FALSE) / VLOOKUP("LULUCF|NOx|Minor restricted activity days", US_national_yearly!$D:$AM, 10, FALSE), 1)</f>
        <v>1.8952827016575548E-2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2.7611442001298156E-3</v>
      </c>
      <c r="C15" s="7">
        <f>$B15 * IFERROR(VLOOKUP("LULUCF|NOx|Work loss days", US_national_yearly!$D:$AM, 11, FALSE) / VLOOKUP("LULUCF|NOx|Work loss days", US_national_yearly!$D:$AM, 10, FALSE), 1)</f>
        <v>2.7672862168628292E-3</v>
      </c>
      <c r="D15" s="7">
        <f>$B15 * IFERROR(VLOOKUP("LULUCF|NOx|Work loss days", US_national_yearly!$D:$AM, 12, FALSE) / VLOOKUP("LULUCF|NOx|Work loss days", US_national_yearly!$D:$AM, 10, FALSE), 1)</f>
        <v>2.7734282335958437E-3</v>
      </c>
      <c r="E15" s="7">
        <f>$B15 * IFERROR(VLOOKUP("LULUCF|NOx|Work loss days", US_national_yearly!$D:$AM, 13, FALSE) / VLOOKUP("LULUCF|NOx|Work loss days", US_national_yearly!$D:$AM, 10, FALSE), 1)</f>
        <v>2.7795702503288578E-3</v>
      </c>
      <c r="F15" s="7">
        <f>$B15 * IFERROR(VLOOKUP("LULUCF|NOx|Work loss days", US_national_yearly!$D:$AM, 14, FALSE) / VLOOKUP("LULUCF|NOx|Work loss days", US_national_yearly!$D:$AM, 10, FALSE), 1)</f>
        <v>2.7857122670618723E-3</v>
      </c>
      <c r="G15" s="7">
        <f>$B15 * IFERROR(VLOOKUP("LULUCF|NOx|Work loss days", US_national_yearly!$D:$AM, 15, FALSE) / VLOOKUP("LULUCF|NOx|Work loss days", US_national_yearly!$D:$AM, 10, FALSE), 1)</f>
        <v>2.7946796638862025E-3</v>
      </c>
      <c r="H15" s="7">
        <f>$B15 * IFERROR(VLOOKUP("LULUCF|NOx|Work loss days", US_national_yearly!$D:$AM, 16, FALSE) / VLOOKUP("LULUCF|NOx|Work loss days", US_national_yearly!$D:$AM, 10, FALSE), 1)</f>
        <v>2.8036470607105332E-3</v>
      </c>
      <c r="I15" s="7">
        <f>$B15 * IFERROR(VLOOKUP("LULUCF|NOx|Work loss days", US_national_yearly!$D:$AM, 17, FALSE) / VLOOKUP("LULUCF|NOx|Work loss days", US_national_yearly!$D:$AM, 10, FALSE), 1)</f>
        <v>2.8181737575669668E-3</v>
      </c>
      <c r="J15" s="7">
        <f>$B15 * IFERROR(VLOOKUP("LULUCF|NOx|Work loss days", US_national_yearly!$D:$AM, 18, FALSE) / VLOOKUP("LULUCF|NOx|Work loss days", US_national_yearly!$D:$AM, 10, FALSE), 1)</f>
        <v>2.8327004544234013E-3</v>
      </c>
      <c r="K15" s="7">
        <f>$B15 * IFERROR(VLOOKUP("LULUCF|NOx|Work loss days", US_national_yearly!$D:$AM, 19, FALSE) / VLOOKUP("LULUCF|NOx|Work loss days", US_national_yearly!$D:$AM, 10, FALSE), 1)</f>
        <v>2.8472271512798349E-3</v>
      </c>
      <c r="L15" s="7">
        <f>$B15 * IFERROR(VLOOKUP("LULUCF|NOx|Work loss days", US_national_yearly!$D:$AM, 20, FALSE) / VLOOKUP("LULUCF|NOx|Work loss days", US_national_yearly!$D:$AM, 10, FALSE), 1)</f>
        <v>2.8617538481362685E-3</v>
      </c>
      <c r="M15" s="7">
        <f>$B15 * IFERROR(VLOOKUP("LULUCF|NOx|Work loss days", US_national_yearly!$D:$AM, 21, FALSE) / VLOOKUP("LULUCF|NOx|Work loss days", US_national_yearly!$D:$AM, 10, FALSE), 1)</f>
        <v>2.8762805449927026E-3</v>
      </c>
      <c r="N15" s="7">
        <f>$B15 * IFERROR(VLOOKUP("LULUCF|NOx|Work loss days", US_national_yearly!$D:$AM, 22, FALSE) / VLOOKUP("LULUCF|NOx|Work loss days", US_national_yearly!$D:$AM, 10, FALSE), 1)</f>
        <v>2.8951861495535264E-3</v>
      </c>
      <c r="O15" s="7">
        <f>$B15 * IFERROR(VLOOKUP("LULUCF|NOx|Work loss days", US_national_yearly!$D:$AM, 23, FALSE) / VLOOKUP("LULUCF|NOx|Work loss days", US_national_yearly!$D:$AM, 10, FALSE), 1)</f>
        <v>2.9140917541143506E-3</v>
      </c>
      <c r="P15" s="7">
        <f>$B15 * IFERROR(VLOOKUP("LULUCF|NOx|Work loss days", US_national_yearly!$D:$AM, 24, FALSE) / VLOOKUP("LULUCF|NOx|Work loss days", US_national_yearly!$D:$AM, 10, FALSE), 1)</f>
        <v>2.9329973586751743E-3</v>
      </c>
      <c r="Q15" s="7">
        <f>$B15 * IFERROR(VLOOKUP("LULUCF|NOx|Work loss days", US_national_yearly!$D:$AM, 25, FALSE) / VLOOKUP("LULUCF|NOx|Work loss days", US_national_yearly!$D:$AM, 10, FALSE), 1)</f>
        <v>2.9519029632359972E-3</v>
      </c>
      <c r="R15" s="7">
        <f>$B15 * IFERROR(VLOOKUP("LULUCF|NOx|Work loss days", US_national_yearly!$D:$AM, 26, FALSE) / VLOOKUP("LULUCF|NOx|Work loss days", US_national_yearly!$D:$AM, 10, FALSE), 1)</f>
        <v>2.9708085677968218E-3</v>
      </c>
      <c r="S15" s="7">
        <f>$B15 * IFERROR(VLOOKUP("LULUCF|NOx|Work loss days", US_national_yearly!$D:$AM, 27, FALSE) / VLOOKUP("LULUCF|NOx|Work loss days", US_national_yearly!$D:$AM, 10, FALSE), 1)</f>
        <v>2.9918858995736414E-3</v>
      </c>
      <c r="T15" s="7">
        <f>$B15 * IFERROR(VLOOKUP("LULUCF|NOx|Work loss days", US_national_yearly!$D:$AM, 28, FALSE) / VLOOKUP("LULUCF|NOx|Work loss days", US_national_yearly!$D:$AM, 10, FALSE), 1)</f>
        <v>3.0129632313504609E-3</v>
      </c>
      <c r="U15" s="7">
        <f>$B15 * IFERROR(VLOOKUP("LULUCF|NOx|Work loss days", US_national_yearly!$D:$AM, 29, FALSE) / VLOOKUP("LULUCF|NOx|Work loss days", US_national_yearly!$D:$AM, 10, FALSE), 1)</f>
        <v>3.0340405631272801E-3</v>
      </c>
      <c r="V15" s="7">
        <f>$B15 * IFERROR(VLOOKUP("LULUCF|NOx|Work loss days", US_national_yearly!$D:$AM, 30, FALSE) / VLOOKUP("LULUCF|NOx|Work loss days", US_national_yearly!$D:$AM, 10, FALSE), 1)</f>
        <v>3.0551178949040996E-3</v>
      </c>
      <c r="W15" s="7">
        <f>$B15 * IFERROR(VLOOKUP("LULUCF|NOx|Work loss days", US_national_yearly!$D:$AM, 31, FALSE) / VLOOKUP("LULUCF|NOx|Work loss days", US_national_yearly!$D:$AM, 10, FALSE), 1)</f>
        <v>3.0761952266809196E-3</v>
      </c>
      <c r="X15" s="7">
        <f>$B15 * IFERROR(VLOOKUP("LULUCF|NOx|Work loss days", US_national_yearly!$D:$AM, 32, FALSE) / VLOOKUP("LULUCF|NOx|Work loss days", US_national_yearly!$D:$AM, 10, FALSE), 1)</f>
        <v>3.0944892268885684E-3</v>
      </c>
      <c r="Y15" s="7">
        <f>$B15 * IFERROR(VLOOKUP("LULUCF|NOx|Work loss days", US_national_yearly!$D:$AM, 33, FALSE) / VLOOKUP("LULUCF|NOx|Work loss days", US_national_yearly!$D:$AM, 10, FALSE), 1)</f>
        <v>3.1127832270962173E-3</v>
      </c>
      <c r="Z15" s="7">
        <f>$B15 * IFERROR(VLOOKUP("LULUCF|NOx|Work loss days", US_national_yearly!$D:$AM, 34, FALSE) / VLOOKUP("LULUCF|NOx|Work loss days", US_national_yearly!$D:$AM, 10, FALSE), 1)</f>
        <v>3.1310772273038666E-3</v>
      </c>
      <c r="AA15" s="7">
        <f>$B15 * IFERROR(VLOOKUP("LULUCF|NOx|Work loss days", US_national_yearly!$D:$AM, 35, FALSE) / VLOOKUP("LULUCF|NOx|Work loss days", US_national_yearly!$D:$AM, 10, FALSE), 1)</f>
        <v>3.1493712275115155E-3</v>
      </c>
      <c r="AB15" s="7">
        <f>$B15 * IFERROR(VLOOKUP("LULUCF|NOx|Work loss days", US_national_yearly!$D:$AM, 36, FALSE) / VLOOKUP("LULUCF|NOx|Work loss days", US_national_yearly!$D:$AM, 10, FALSE), 1)</f>
        <v>3.1676652277191643E-3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6.0893462755429521E-6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6.2682794732440795E-6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6.4472126709452061E-6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6.6261458686463326E-6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6.8050790663474609E-6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6.9750360131578025E-6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7.1449929599681449E-6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7.2879136407972465E-6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7.4308343216263491E-6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7.5737550024554507E-6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7.7166756832845532E-6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7.8595963641136558E-6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7.9489694014822429E-6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8.03834243885083E-6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8.127715476219417E-6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8.2170885135880041E-6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8.3064615509565895E-6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8.3472400136813081E-6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8.3880184764060266E-6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8.4287969391307451E-6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8.4695754018554637E-6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8.5103538645801822E-6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8.5330484928600836E-6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8.5557431211399867E-6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8.5784377494198898E-6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8.6011323776997912E-6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8.6238270059796943E-6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5.7520430496887844E-5</v>
      </c>
      <c r="C2" s="7">
        <f>$B2 * IFERROR(VLOOKUP("LULUCF|SO2|Premature mortality", US_national_yearly!$D:$AM, 11, FALSE) / VLOOKUP("LULUCF|SO2|Premature mortality", US_national_yearly!$D:$AM, 10, FALSE), 1)</f>
        <v>5.8248895626871937E-5</v>
      </c>
      <c r="D2" s="7">
        <f>$B2 * IFERROR(VLOOKUP("LULUCF|SO2|Premature mortality", US_national_yearly!$D:$AM, 12, FALSE) / VLOOKUP("LULUCF|SO2|Premature mortality", US_national_yearly!$D:$AM, 10, FALSE), 1)</f>
        <v>5.8977360756856044E-5</v>
      </c>
      <c r="E2" s="7">
        <f>$B2 * IFERROR(VLOOKUP("LULUCF|SO2|Premature mortality", US_national_yearly!$D:$AM, 13, FALSE) / VLOOKUP("LULUCF|SO2|Premature mortality", US_national_yearly!$D:$AM, 10, FALSE), 1)</f>
        <v>5.9705825886840137E-5</v>
      </c>
      <c r="F2" s="7">
        <f>$B2 * IFERROR(VLOOKUP("LULUCF|SO2|Premature mortality", US_national_yearly!$D:$AM, 14, FALSE) / VLOOKUP("LULUCF|SO2|Premature mortality", US_national_yearly!$D:$AM, 10, FALSE), 1)</f>
        <v>6.043429101682423E-5</v>
      </c>
      <c r="G2" s="7">
        <f>$B2 * IFERROR(VLOOKUP("LULUCF|SO2|Premature mortality", US_national_yearly!$D:$AM, 15, FALSE) / VLOOKUP("LULUCF|SO2|Premature mortality", US_national_yearly!$D:$AM, 10, FALSE), 1)</f>
        <v>6.1838002037378797E-5</v>
      </c>
      <c r="H2" s="7">
        <f>$B2 * IFERROR(VLOOKUP("LULUCF|SO2|Premature mortality", US_national_yearly!$D:$AM, 16, FALSE) / VLOOKUP("LULUCF|SO2|Premature mortality", US_national_yearly!$D:$AM, 10, FALSE), 1)</f>
        <v>6.3241713057933364E-5</v>
      </c>
      <c r="I2" s="7">
        <f>$B2 * IFERROR(VLOOKUP("LULUCF|SO2|Premature mortality", US_national_yearly!$D:$AM, 17, FALSE) / VLOOKUP("LULUCF|SO2|Premature mortality", US_national_yearly!$D:$AM, 10, FALSE), 1)</f>
        <v>6.416937131133216E-5</v>
      </c>
      <c r="J2" s="7">
        <f>$B2 * IFERROR(VLOOKUP("LULUCF|SO2|Premature mortality", US_national_yearly!$D:$AM, 18, FALSE) / VLOOKUP("LULUCF|SO2|Premature mortality", US_national_yearly!$D:$AM, 10, FALSE), 1)</f>
        <v>6.5097029564730957E-5</v>
      </c>
      <c r="K2" s="7">
        <f>$B2 * IFERROR(VLOOKUP("LULUCF|SO2|Premature mortality", US_national_yearly!$D:$AM, 19, FALSE) / VLOOKUP("LULUCF|SO2|Premature mortality", US_national_yearly!$D:$AM, 10, FALSE), 1)</f>
        <v>6.6024687818129753E-5</v>
      </c>
      <c r="L2" s="7">
        <f>$B2 * IFERROR(VLOOKUP("LULUCF|SO2|Premature mortality", US_national_yearly!$D:$AM, 20, FALSE) / VLOOKUP("LULUCF|SO2|Premature mortality", US_national_yearly!$D:$AM, 10, FALSE), 1)</f>
        <v>6.695234607152855E-5</v>
      </c>
      <c r="M2" s="7">
        <f>$B2 * IFERROR(VLOOKUP("LULUCF|SO2|Premature mortality", US_national_yearly!$D:$AM, 21, FALSE) / VLOOKUP("LULUCF|SO2|Premature mortality", US_national_yearly!$D:$AM, 10, FALSE), 1)</f>
        <v>6.7880004324927359E-5</v>
      </c>
      <c r="N2" s="7">
        <f>$B2 * IFERROR(VLOOKUP("LULUCF|SO2|Premature mortality", US_national_yearly!$D:$AM, 22, FALSE) / VLOOKUP("LULUCF|SO2|Premature mortality", US_national_yearly!$D:$AM, 10, FALSE), 1)</f>
        <v>6.8604826165420048E-5</v>
      </c>
      <c r="O2" s="7">
        <f>$B2 * IFERROR(VLOOKUP("LULUCF|SO2|Premature mortality", US_national_yearly!$D:$AM, 23, FALSE) / VLOOKUP("LULUCF|SO2|Premature mortality", US_national_yearly!$D:$AM, 10, FALSE), 1)</f>
        <v>6.9329648005912736E-5</v>
      </c>
      <c r="P2" s="7">
        <f>$B2 * IFERROR(VLOOKUP("LULUCF|SO2|Premature mortality", US_national_yearly!$D:$AM, 24, FALSE) / VLOOKUP("LULUCF|SO2|Premature mortality", US_national_yearly!$D:$AM, 10, FALSE), 1)</f>
        <v>7.0054469846405425E-5</v>
      </c>
      <c r="Q2" s="7">
        <f>$B2 * IFERROR(VLOOKUP("LULUCF|SO2|Premature mortality", US_national_yearly!$D:$AM, 25, FALSE) / VLOOKUP("LULUCF|SO2|Premature mortality", US_national_yearly!$D:$AM, 10, FALSE), 1)</f>
        <v>7.0779291686898113E-5</v>
      </c>
      <c r="R2" s="7">
        <f>$B2 * IFERROR(VLOOKUP("LULUCF|SO2|Premature mortality", US_national_yearly!$D:$AM, 26, FALSE) / VLOOKUP("LULUCF|SO2|Premature mortality", US_national_yearly!$D:$AM, 10, FALSE), 1)</f>
        <v>7.1504113527390788E-5</v>
      </c>
      <c r="S2" s="7">
        <f>$B2 * IFERROR(VLOOKUP("LULUCF|SO2|Premature mortality", US_national_yearly!$D:$AM, 27, FALSE) / VLOOKUP("LULUCF|SO2|Premature mortality", US_national_yearly!$D:$AM, 10, FALSE), 1)</f>
        <v>7.1892265274121851E-5</v>
      </c>
      <c r="T2" s="7">
        <f>$B2 * IFERROR(VLOOKUP("LULUCF|SO2|Premature mortality", US_national_yearly!$D:$AM, 28, FALSE) / VLOOKUP("LULUCF|SO2|Premature mortality", US_national_yearly!$D:$AM, 10, FALSE), 1)</f>
        <v>7.2280417020852914E-5</v>
      </c>
      <c r="U2" s="7">
        <f>$B2 * IFERROR(VLOOKUP("LULUCF|SO2|Premature mortality", US_national_yearly!$D:$AM, 29, FALSE) / VLOOKUP("LULUCF|SO2|Premature mortality", US_national_yearly!$D:$AM, 10, FALSE), 1)</f>
        <v>7.2668568767583964E-5</v>
      </c>
      <c r="V2" s="7">
        <f>$B2 * IFERROR(VLOOKUP("LULUCF|SO2|Premature mortality", US_national_yearly!$D:$AM, 30, FALSE) / VLOOKUP("LULUCF|SO2|Premature mortality", US_national_yearly!$D:$AM, 10, FALSE), 1)</f>
        <v>7.3056720514315013E-5</v>
      </c>
      <c r="W2" s="7">
        <f>$B2 * IFERROR(VLOOKUP("LULUCF|SO2|Premature mortality", US_national_yearly!$D:$AM, 31, FALSE) / VLOOKUP("LULUCF|SO2|Premature mortality", US_national_yearly!$D:$AM, 10, FALSE), 1)</f>
        <v>7.3444872261046077E-5</v>
      </c>
      <c r="X2" s="7">
        <f>$B2 * IFERROR(VLOOKUP("LULUCF|SO2|Premature mortality", US_national_yearly!$D:$AM, 32, FALSE) / VLOOKUP("LULUCF|SO2|Premature mortality", US_national_yearly!$D:$AM, 10, FALSE), 1)</f>
        <v>7.3523726475661387E-5</v>
      </c>
      <c r="Y2" s="7">
        <f>$B2 * IFERROR(VLOOKUP("LULUCF|SO2|Premature mortality", US_national_yearly!$D:$AM, 33, FALSE) / VLOOKUP("LULUCF|SO2|Premature mortality", US_national_yearly!$D:$AM, 10, FALSE), 1)</f>
        <v>7.3602580690276725E-5</v>
      </c>
      <c r="Z2" s="7">
        <f>$B2 * IFERROR(VLOOKUP("LULUCF|SO2|Premature mortality", US_national_yearly!$D:$AM, 34, FALSE) / VLOOKUP("LULUCF|SO2|Premature mortality", US_national_yearly!$D:$AM, 10, FALSE), 1)</f>
        <v>7.3681434904892049E-5</v>
      </c>
      <c r="AA2" s="7">
        <f>$B2 * IFERROR(VLOOKUP("LULUCF|SO2|Premature mortality", US_national_yearly!$D:$AM, 35, FALSE) / VLOOKUP("LULUCF|SO2|Premature mortality", US_national_yearly!$D:$AM, 10, FALSE), 1)</f>
        <v>7.3760289119507386E-5</v>
      </c>
      <c r="AB2" s="7">
        <f>$B2 * IFERROR(VLOOKUP("LULUCF|SO2|Premature mortality", US_national_yearly!$D:$AM, 36, FALSE) / VLOOKUP("LULUCF|SO2|Premature mortality", US_national_yearly!$D:$AM, 10, FALSE), 1)</f>
        <v>7.3839143334122697E-5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7.660258589369556E-8</v>
      </c>
      <c r="C3" s="7">
        <f>$B3 * IFERROR(VLOOKUP("LULUCF|SO2|Infant mortality", US_national_yearly!$D:$AM, 11, FALSE) / VLOOKUP("LULUCF|SO2|Infant mortality", US_national_yearly!$D:$AM, 10, FALSE), 1)</f>
        <v>7.59445557081303E-8</v>
      </c>
      <c r="D3" s="7">
        <f>$B3 * IFERROR(VLOOKUP("LULUCF|SO2|Infant mortality", US_national_yearly!$D:$AM, 12, FALSE) / VLOOKUP("LULUCF|SO2|Infant mortality", US_national_yearly!$D:$AM, 10, FALSE), 1)</f>
        <v>7.5286525522565041E-8</v>
      </c>
      <c r="E3" s="7">
        <f>$B3 * IFERROR(VLOOKUP("LULUCF|SO2|Infant mortality", US_national_yearly!$D:$AM, 13, FALSE) / VLOOKUP("LULUCF|SO2|Infant mortality", US_national_yearly!$D:$AM, 10, FALSE), 1)</f>
        <v>7.4628495336999768E-8</v>
      </c>
      <c r="F3" s="7">
        <f>$B3 * IFERROR(VLOOKUP("LULUCF|SO2|Infant mortality", US_national_yearly!$D:$AM, 14, FALSE) / VLOOKUP("LULUCF|SO2|Infant mortality", US_national_yearly!$D:$AM, 10, FALSE), 1)</f>
        <v>7.3970465151434522E-8</v>
      </c>
      <c r="G3" s="7">
        <f>$B3 * IFERROR(VLOOKUP("LULUCF|SO2|Infant mortality", US_national_yearly!$D:$AM, 15, FALSE) / VLOOKUP("LULUCF|SO2|Infant mortality", US_national_yearly!$D:$AM, 10, FALSE), 1)</f>
        <v>4.9270287489043134E-8</v>
      </c>
      <c r="H3" s="7">
        <f>$B3 * IFERROR(VLOOKUP("LULUCF|SO2|Infant mortality", US_national_yearly!$D:$AM, 16, FALSE) / VLOOKUP("LULUCF|SO2|Infant mortality", US_national_yearly!$D:$AM, 10, FALSE), 1)</f>
        <v>2.4570109826651782E-8</v>
      </c>
      <c r="I3" s="7">
        <f>$B3 * IFERROR(VLOOKUP("LULUCF|SO2|Infant mortality", US_national_yearly!$D:$AM, 17, FALSE) / VLOOKUP("LULUCF|SO2|Infant mortality", US_national_yearly!$D:$AM, 10, FALSE), 1)</f>
        <v>2.4415974108173049E-8</v>
      </c>
      <c r="J3" s="7">
        <f>$B3 * IFERROR(VLOOKUP("LULUCF|SO2|Infant mortality", US_national_yearly!$D:$AM, 18, FALSE) / VLOOKUP("LULUCF|SO2|Infant mortality", US_national_yearly!$D:$AM, 10, FALSE), 1)</f>
        <v>2.4261838389694316E-8</v>
      </c>
      <c r="K3" s="7">
        <f>$B3 * IFERROR(VLOOKUP("LULUCF|SO2|Infant mortality", US_national_yearly!$D:$AM, 19, FALSE) / VLOOKUP("LULUCF|SO2|Infant mortality", US_national_yearly!$D:$AM, 10, FALSE), 1)</f>
        <v>2.4107702671215583E-8</v>
      </c>
      <c r="L3" s="7">
        <f>$B3 * IFERROR(VLOOKUP("LULUCF|SO2|Infant mortality", US_national_yearly!$D:$AM, 20, FALSE) / VLOOKUP("LULUCF|SO2|Infant mortality", US_national_yearly!$D:$AM, 10, FALSE), 1)</f>
        <v>2.3953566952736857E-8</v>
      </c>
      <c r="M3" s="7">
        <f>$B3 * IFERROR(VLOOKUP("LULUCF|SO2|Infant mortality", US_national_yearly!$D:$AM, 21, FALSE) / VLOOKUP("LULUCF|SO2|Infant mortality", US_national_yearly!$D:$AM, 10, FALSE), 1)</f>
        <v>2.3799431234258124E-8</v>
      </c>
      <c r="N3" s="7">
        <f>$B3 * IFERROR(VLOOKUP("LULUCF|SO2|Infant mortality", US_national_yearly!$D:$AM, 22, FALSE) / VLOOKUP("LULUCF|SO2|Infant mortality", US_national_yearly!$D:$AM, 10, FALSE), 1)</f>
        <v>2.3702681397731085E-8</v>
      </c>
      <c r="O3" s="7">
        <f>$B3 * IFERROR(VLOOKUP("LULUCF|SO2|Infant mortality", US_national_yearly!$D:$AM, 23, FALSE) / VLOOKUP("LULUCF|SO2|Infant mortality", US_national_yearly!$D:$AM, 10, FALSE), 1)</f>
        <v>2.3605931561204049E-8</v>
      </c>
      <c r="P3" s="7">
        <f>$B3 * IFERROR(VLOOKUP("LULUCF|SO2|Infant mortality", US_national_yearly!$D:$AM, 24, FALSE) / VLOOKUP("LULUCF|SO2|Infant mortality", US_national_yearly!$D:$AM, 10, FALSE), 1)</f>
        <v>2.3509181724677004E-8</v>
      </c>
      <c r="Q3" s="7">
        <f>$B3 * IFERROR(VLOOKUP("LULUCF|SO2|Infant mortality", US_national_yearly!$D:$AM, 25, FALSE) / VLOOKUP("LULUCF|SO2|Infant mortality", US_national_yearly!$D:$AM, 10, FALSE), 1)</f>
        <v>2.3412431888149968E-8</v>
      </c>
      <c r="R3" s="7">
        <f>$B3 * IFERROR(VLOOKUP("LULUCF|SO2|Infant mortality", US_national_yearly!$D:$AM, 26, FALSE) / VLOOKUP("LULUCF|SO2|Infant mortality", US_national_yearly!$D:$AM, 10, FALSE), 1)</f>
        <v>2.3315682051622926E-8</v>
      </c>
      <c r="S3" s="7">
        <f>$B3 * IFERROR(VLOOKUP("LULUCF|SO2|Infant mortality", US_national_yearly!$D:$AM, 27, FALSE) / VLOOKUP("LULUCF|SO2|Infant mortality", US_national_yearly!$D:$AM, 10, FALSE), 1)</f>
        <v>2.3194206737737016E-8</v>
      </c>
      <c r="T3" s="7">
        <f>$B3 * IFERROR(VLOOKUP("LULUCF|SO2|Infant mortality", US_national_yearly!$D:$AM, 28, FALSE) / VLOOKUP("LULUCF|SO2|Infant mortality", US_national_yearly!$D:$AM, 10, FALSE), 1)</f>
        <v>2.3072731423851109E-8</v>
      </c>
      <c r="U3" s="7">
        <f>$B3 * IFERROR(VLOOKUP("LULUCF|SO2|Infant mortality", US_national_yearly!$D:$AM, 29, FALSE) / VLOOKUP("LULUCF|SO2|Infant mortality", US_national_yearly!$D:$AM, 10, FALSE), 1)</f>
        <v>2.2951256109965192E-8</v>
      </c>
      <c r="V3" s="7">
        <f>$B3 * IFERROR(VLOOKUP("LULUCF|SO2|Infant mortality", US_national_yearly!$D:$AM, 30, FALSE) / VLOOKUP("LULUCF|SO2|Infant mortality", US_national_yearly!$D:$AM, 10, FALSE), 1)</f>
        <v>2.2829780796079289E-8</v>
      </c>
      <c r="W3" s="7">
        <f>$B3 * IFERROR(VLOOKUP("LULUCF|SO2|Infant mortality", US_national_yearly!$D:$AM, 31, FALSE) / VLOOKUP("LULUCF|SO2|Infant mortality", US_national_yearly!$D:$AM, 10, FALSE), 1)</f>
        <v>2.2708305482193379E-8</v>
      </c>
      <c r="X3" s="7">
        <f>$B3 * IFERROR(VLOOKUP("LULUCF|SO2|Infant mortality", US_national_yearly!$D:$AM, 32, FALSE) / VLOOKUP("LULUCF|SO2|Infant mortality", US_national_yearly!$D:$AM, 10, FALSE), 1)</f>
        <v>2.2575495468079272E-8</v>
      </c>
      <c r="Y3" s="7">
        <f>$B3 * IFERROR(VLOOKUP("LULUCF|SO2|Infant mortality", US_national_yearly!$D:$AM, 33, FALSE) / VLOOKUP("LULUCF|SO2|Infant mortality", US_national_yearly!$D:$AM, 10, FALSE), 1)</f>
        <v>2.2442685453965157E-8</v>
      </c>
      <c r="Z3" s="7">
        <f>$B3 * IFERROR(VLOOKUP("LULUCF|SO2|Infant mortality", US_national_yearly!$D:$AM, 34, FALSE) / VLOOKUP("LULUCF|SO2|Infant mortality", US_national_yearly!$D:$AM, 10, FALSE), 1)</f>
        <v>2.2309875439851053E-8</v>
      </c>
      <c r="AA3" s="7">
        <f>$B3 * IFERROR(VLOOKUP("LULUCF|SO2|Infant mortality", US_national_yearly!$D:$AM, 35, FALSE) / VLOOKUP("LULUCF|SO2|Infant mortality", US_national_yearly!$D:$AM, 10, FALSE), 1)</f>
        <v>2.2177065425736939E-8</v>
      </c>
      <c r="AB3" s="7">
        <f>$B3 * IFERROR(VLOOKUP("LULUCF|SO2|Infant mortality", US_national_yearly!$D:$AM, 36, FALSE) / VLOOKUP("LULUCF|SO2|Infant mortality", US_national_yearly!$D:$AM, 10, FALSE), 1)</f>
        <v>2.2044255411622831E-8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1.1193166684239234E-4</v>
      </c>
      <c r="C6" s="7">
        <f>$B6 * IFERROR(VLOOKUP("LULUCF|SO2|Asthma symptoms cough", US_national_yearly!$D:$AM, 11, FALSE) / VLOOKUP("LULUCF|SO2|Asthma symptoms cough", US_national_yearly!$D:$AM, 10, FALSE), 1)</f>
        <v>1.1193166684239234E-4</v>
      </c>
      <c r="D6" s="7">
        <f>$B6 * IFERROR(VLOOKUP("LULUCF|SO2|Asthma symptoms cough", US_national_yearly!$D:$AM, 12, FALSE) / VLOOKUP("LULUCF|SO2|Asthma symptoms cough", US_national_yearly!$D:$AM, 10, FALSE), 1)</f>
        <v>1.1193166684239234E-4</v>
      </c>
      <c r="E6" s="7">
        <f>$B6 * IFERROR(VLOOKUP("LULUCF|SO2|Asthma symptoms cough", US_national_yearly!$D:$AM, 13, FALSE) / VLOOKUP("LULUCF|SO2|Asthma symptoms cough", US_national_yearly!$D:$AM, 10, FALSE), 1)</f>
        <v>1.1193166684239234E-4</v>
      </c>
      <c r="F6" s="7">
        <f>$B6 * IFERROR(VLOOKUP("LULUCF|SO2|Asthma symptoms cough", US_national_yearly!$D:$AM, 14, FALSE) / VLOOKUP("LULUCF|SO2|Asthma symptoms cough", US_national_yearly!$D:$AM, 10, FALSE), 1)</f>
        <v>1.1193166684239234E-4</v>
      </c>
      <c r="G6" s="7">
        <f>$B6 * IFERROR(VLOOKUP("LULUCF|SO2|Asthma symptoms cough", US_national_yearly!$D:$AM, 15, FALSE) / VLOOKUP("LULUCF|SO2|Asthma symptoms cough", US_national_yearly!$D:$AM, 10, FALSE), 1)</f>
        <v>1.1193166684239234E-4</v>
      </c>
      <c r="H6" s="7">
        <f>$B6 * IFERROR(VLOOKUP("LULUCF|SO2|Asthma symptoms cough", US_national_yearly!$D:$AM, 16, FALSE) / VLOOKUP("LULUCF|SO2|Asthma symptoms cough", US_national_yearly!$D:$AM, 10, FALSE), 1)</f>
        <v>1.1193166684239234E-4</v>
      </c>
      <c r="I6" s="7">
        <f>$B6 * IFERROR(VLOOKUP("LULUCF|SO2|Asthma symptoms cough", US_national_yearly!$D:$AM, 17, FALSE) / VLOOKUP("LULUCF|SO2|Asthma symptoms cough", US_national_yearly!$D:$AM, 10, FALSE), 1)</f>
        <v>1.1193166684239234E-4</v>
      </c>
      <c r="J6" s="7">
        <f>$B6 * IFERROR(VLOOKUP("LULUCF|SO2|Asthma symptoms cough", US_national_yearly!$D:$AM, 18, FALSE) / VLOOKUP("LULUCF|SO2|Asthma symptoms cough", US_national_yearly!$D:$AM, 10, FALSE), 1)</f>
        <v>1.1193166684239234E-4</v>
      </c>
      <c r="K6" s="7">
        <f>$B6 * IFERROR(VLOOKUP("LULUCF|SO2|Asthma symptoms cough", US_national_yearly!$D:$AM, 19, FALSE) / VLOOKUP("LULUCF|SO2|Asthma symptoms cough", US_national_yearly!$D:$AM, 10, FALSE), 1)</f>
        <v>1.1193166684239234E-4</v>
      </c>
      <c r="L6" s="7">
        <f>$B6 * IFERROR(VLOOKUP("LULUCF|SO2|Asthma symptoms cough", US_national_yearly!$D:$AM, 20, FALSE) / VLOOKUP("LULUCF|SO2|Asthma symptoms cough", US_national_yearly!$D:$AM, 10, FALSE), 1)</f>
        <v>1.1193166684239234E-4</v>
      </c>
      <c r="M6" s="7">
        <f>$B6 * IFERROR(VLOOKUP("LULUCF|SO2|Asthma symptoms cough", US_national_yearly!$D:$AM, 21, FALSE) / VLOOKUP("LULUCF|SO2|Asthma symptoms cough", US_national_yearly!$D:$AM, 10, FALSE), 1)</f>
        <v>1.1193166684239234E-4</v>
      </c>
      <c r="N6" s="7">
        <f>$B6 * IFERROR(VLOOKUP("LULUCF|SO2|Asthma symptoms cough", US_national_yearly!$D:$AM, 22, FALSE) / VLOOKUP("LULUCF|SO2|Asthma symptoms cough", US_national_yearly!$D:$AM, 10, FALSE), 1)</f>
        <v>1.1193166684239234E-4</v>
      </c>
      <c r="O6" s="7">
        <f>$B6 * IFERROR(VLOOKUP("LULUCF|SO2|Asthma symptoms cough", US_national_yearly!$D:$AM, 23, FALSE) / VLOOKUP("LULUCF|SO2|Asthma symptoms cough", US_national_yearly!$D:$AM, 10, FALSE), 1)</f>
        <v>1.1193166684239234E-4</v>
      </c>
      <c r="P6" s="7">
        <f>$B6 * IFERROR(VLOOKUP("LULUCF|SO2|Asthma symptoms cough", US_national_yearly!$D:$AM, 24, FALSE) / VLOOKUP("LULUCF|SO2|Asthma symptoms cough", US_national_yearly!$D:$AM, 10, FALSE), 1)</f>
        <v>1.1193166684239234E-4</v>
      </c>
      <c r="Q6" s="7">
        <f>$B6 * IFERROR(VLOOKUP("LULUCF|SO2|Asthma symptoms cough", US_national_yearly!$D:$AM, 25, FALSE) / VLOOKUP("LULUCF|SO2|Asthma symptoms cough", US_national_yearly!$D:$AM, 10, FALSE), 1)</f>
        <v>1.1193166684239234E-4</v>
      </c>
      <c r="R6" s="7">
        <f>$B6 * IFERROR(VLOOKUP("LULUCF|SO2|Asthma symptoms cough", US_national_yearly!$D:$AM, 26, FALSE) / VLOOKUP("LULUCF|SO2|Asthma symptoms cough", US_national_yearly!$D:$AM, 10, FALSE), 1)</f>
        <v>1.1193166684239234E-4</v>
      </c>
      <c r="S6" s="7">
        <f>$B6 * IFERROR(VLOOKUP("LULUCF|SO2|Asthma symptoms cough", US_national_yearly!$D:$AM, 27, FALSE) / VLOOKUP("LULUCF|SO2|Asthma symptoms cough", US_national_yearly!$D:$AM, 10, FALSE), 1)</f>
        <v>1.1193166684239234E-4</v>
      </c>
      <c r="T6" s="7">
        <f>$B6 * IFERROR(VLOOKUP("LULUCF|SO2|Asthma symptoms cough", US_national_yearly!$D:$AM, 28, FALSE) / VLOOKUP("LULUCF|SO2|Asthma symptoms cough", US_national_yearly!$D:$AM, 10, FALSE), 1)</f>
        <v>1.1193166684239234E-4</v>
      </c>
      <c r="U6" s="7">
        <f>$B6 * IFERROR(VLOOKUP("LULUCF|SO2|Asthma symptoms cough", US_national_yearly!$D:$AM, 29, FALSE) / VLOOKUP("LULUCF|SO2|Asthma symptoms cough", US_national_yearly!$D:$AM, 10, FALSE), 1)</f>
        <v>1.1193166684239234E-4</v>
      </c>
      <c r="V6" s="7">
        <f>$B6 * IFERROR(VLOOKUP("LULUCF|SO2|Asthma symptoms cough", US_national_yearly!$D:$AM, 30, FALSE) / VLOOKUP("LULUCF|SO2|Asthma symptoms cough", US_national_yearly!$D:$AM, 10, FALSE), 1)</f>
        <v>1.1193166684239234E-4</v>
      </c>
      <c r="W6" s="7">
        <f>$B6 * IFERROR(VLOOKUP("LULUCF|SO2|Asthma symptoms cough", US_national_yearly!$D:$AM, 31, FALSE) / VLOOKUP("LULUCF|SO2|Asthma symptoms cough", US_national_yearly!$D:$AM, 10, FALSE), 1)</f>
        <v>1.1193166684239234E-4</v>
      </c>
      <c r="X6" s="7">
        <f>$B6 * IFERROR(VLOOKUP("LULUCF|SO2|Asthma symptoms cough", US_national_yearly!$D:$AM, 32, FALSE) / VLOOKUP("LULUCF|SO2|Asthma symptoms cough", US_national_yearly!$D:$AM, 10, FALSE), 1)</f>
        <v>1.1193166684239234E-4</v>
      </c>
      <c r="Y6" s="7">
        <f>$B6 * IFERROR(VLOOKUP("LULUCF|SO2|Asthma symptoms cough", US_national_yearly!$D:$AM, 33, FALSE) / VLOOKUP("LULUCF|SO2|Asthma symptoms cough", US_national_yearly!$D:$AM, 10, FALSE), 1)</f>
        <v>1.1193166684239234E-4</v>
      </c>
      <c r="Z6" s="7">
        <f>$B6 * IFERROR(VLOOKUP("LULUCF|SO2|Asthma symptoms cough", US_national_yearly!$D:$AM, 34, FALSE) / VLOOKUP("LULUCF|SO2|Asthma symptoms cough", US_national_yearly!$D:$AM, 10, FALSE), 1)</f>
        <v>1.1193166684239234E-4</v>
      </c>
      <c r="AA6" s="7">
        <f>$B6 * IFERROR(VLOOKUP("LULUCF|SO2|Asthma symptoms cough", US_national_yearly!$D:$AM, 35, FALSE) / VLOOKUP("LULUCF|SO2|Asthma symptoms cough", US_national_yearly!$D:$AM, 10, FALSE), 1)</f>
        <v>1.1193166684239234E-4</v>
      </c>
      <c r="AB6" s="7">
        <f>$B6 * IFERROR(VLOOKUP("LULUCF|SO2|Asthma symptoms cough", US_national_yearly!$D:$AM, 36, FALSE) / VLOOKUP("LULUCF|SO2|Asthma symptoms cough", US_national_yearly!$D:$AM, 10, FALSE), 1)</f>
        <v>1.1193166684239234E-4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1.5073236043421998E-4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1.5073236043421998E-4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1.5073236043421998E-4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1.5073236043421998E-4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1.5073236043421998E-4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1.5073236043421998E-4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1.5073236043421998E-4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1.5073236043421998E-4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1.5073236043421998E-4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1.5073236043421998E-4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1.5073236043421998E-4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1.5073236043421998E-4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1.5073236043421998E-4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1.5073236043421998E-4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1.5073236043421998E-4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1.5073236043421998E-4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1.5073236043421998E-4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1.5073236043421998E-4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1.5073236043421998E-4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1.5073236043421998E-4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1.5073236043421998E-4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1.5073236043421998E-4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1.5073236043421998E-4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1.5073236043421998E-4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1.5073236043421998E-4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1.5073236043421998E-4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1.5073236043421998E-4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2.3029304156537683E-4</v>
      </c>
      <c r="C8" s="7">
        <f>$B8 * IFERROR(VLOOKUP("LULUCF|SO2|Asthma symptoms wheeze", US_national_yearly!$D:$AM, 11, FALSE) / VLOOKUP("LULUCF|SO2|Asthma symptoms wheeze", US_national_yearly!$D:$AM, 10, FALSE), 1)</f>
        <v>2.3029304156537683E-4</v>
      </c>
      <c r="D8" s="7">
        <f>$B8 * IFERROR(VLOOKUP("LULUCF|SO2|Asthma symptoms wheeze", US_national_yearly!$D:$AM, 12, FALSE) / VLOOKUP("LULUCF|SO2|Asthma symptoms wheeze", US_national_yearly!$D:$AM, 10, FALSE), 1)</f>
        <v>2.3029304156537683E-4</v>
      </c>
      <c r="E8" s="7">
        <f>$B8 * IFERROR(VLOOKUP("LULUCF|SO2|Asthma symptoms wheeze", US_national_yearly!$D:$AM, 13, FALSE) / VLOOKUP("LULUCF|SO2|Asthma symptoms wheeze", US_national_yearly!$D:$AM, 10, FALSE), 1)</f>
        <v>2.3029304156537683E-4</v>
      </c>
      <c r="F8" s="7">
        <f>$B8 * IFERROR(VLOOKUP("LULUCF|SO2|Asthma symptoms wheeze", US_national_yearly!$D:$AM, 14, FALSE) / VLOOKUP("LULUCF|SO2|Asthma symptoms wheeze", US_national_yearly!$D:$AM, 10, FALSE), 1)</f>
        <v>2.3029304156537683E-4</v>
      </c>
      <c r="G8" s="7">
        <f>$B8 * IFERROR(VLOOKUP("LULUCF|SO2|Asthma symptoms wheeze", US_national_yearly!$D:$AM, 15, FALSE) / VLOOKUP("LULUCF|SO2|Asthma symptoms wheeze", US_national_yearly!$D:$AM, 10, FALSE), 1)</f>
        <v>2.3029304156537683E-4</v>
      </c>
      <c r="H8" s="7">
        <f>$B8 * IFERROR(VLOOKUP("LULUCF|SO2|Asthma symptoms wheeze", US_national_yearly!$D:$AM, 16, FALSE) / VLOOKUP("LULUCF|SO2|Asthma symptoms wheeze", US_national_yearly!$D:$AM, 10, FALSE), 1)</f>
        <v>2.3029304156537683E-4</v>
      </c>
      <c r="I8" s="7">
        <f>$B8 * IFERROR(VLOOKUP("LULUCF|SO2|Asthma symptoms wheeze", US_national_yearly!$D:$AM, 17, FALSE) / VLOOKUP("LULUCF|SO2|Asthma symptoms wheeze", US_national_yearly!$D:$AM, 10, FALSE), 1)</f>
        <v>2.3029304156537683E-4</v>
      </c>
      <c r="J8" s="7">
        <f>$B8 * IFERROR(VLOOKUP("LULUCF|SO2|Asthma symptoms wheeze", US_national_yearly!$D:$AM, 18, FALSE) / VLOOKUP("LULUCF|SO2|Asthma symptoms wheeze", US_national_yearly!$D:$AM, 10, FALSE), 1)</f>
        <v>2.3029304156537683E-4</v>
      </c>
      <c r="K8" s="7">
        <f>$B8 * IFERROR(VLOOKUP("LULUCF|SO2|Asthma symptoms wheeze", US_national_yearly!$D:$AM, 19, FALSE) / VLOOKUP("LULUCF|SO2|Asthma symptoms wheeze", US_national_yearly!$D:$AM, 10, FALSE), 1)</f>
        <v>2.3029304156537683E-4</v>
      </c>
      <c r="L8" s="7">
        <f>$B8 * IFERROR(VLOOKUP("LULUCF|SO2|Asthma symptoms wheeze", US_national_yearly!$D:$AM, 20, FALSE) / VLOOKUP("LULUCF|SO2|Asthma symptoms wheeze", US_national_yearly!$D:$AM, 10, FALSE), 1)</f>
        <v>2.3029304156537683E-4</v>
      </c>
      <c r="M8" s="7">
        <f>$B8 * IFERROR(VLOOKUP("LULUCF|SO2|Asthma symptoms wheeze", US_national_yearly!$D:$AM, 21, FALSE) / VLOOKUP("LULUCF|SO2|Asthma symptoms wheeze", US_national_yearly!$D:$AM, 10, FALSE), 1)</f>
        <v>2.3029304156537683E-4</v>
      </c>
      <c r="N8" s="7">
        <f>$B8 * IFERROR(VLOOKUP("LULUCF|SO2|Asthma symptoms wheeze", US_national_yearly!$D:$AM, 22, FALSE) / VLOOKUP("LULUCF|SO2|Asthma symptoms wheeze", US_national_yearly!$D:$AM, 10, FALSE), 1)</f>
        <v>2.3029304156537683E-4</v>
      </c>
      <c r="O8" s="7">
        <f>$B8 * IFERROR(VLOOKUP("LULUCF|SO2|Asthma symptoms wheeze", US_national_yearly!$D:$AM, 23, FALSE) / VLOOKUP("LULUCF|SO2|Asthma symptoms wheeze", US_national_yearly!$D:$AM, 10, FALSE), 1)</f>
        <v>2.3029304156537683E-4</v>
      </c>
      <c r="P8" s="7">
        <f>$B8 * IFERROR(VLOOKUP("LULUCF|SO2|Asthma symptoms wheeze", US_national_yearly!$D:$AM, 24, FALSE) / VLOOKUP("LULUCF|SO2|Asthma symptoms wheeze", US_national_yearly!$D:$AM, 10, FALSE), 1)</f>
        <v>2.3029304156537683E-4</v>
      </c>
      <c r="Q8" s="7">
        <f>$B8 * IFERROR(VLOOKUP("LULUCF|SO2|Asthma symptoms wheeze", US_national_yearly!$D:$AM, 25, FALSE) / VLOOKUP("LULUCF|SO2|Asthma symptoms wheeze", US_national_yearly!$D:$AM, 10, FALSE), 1)</f>
        <v>2.3029304156537683E-4</v>
      </c>
      <c r="R8" s="7">
        <f>$B8 * IFERROR(VLOOKUP("LULUCF|SO2|Asthma symptoms wheeze", US_national_yearly!$D:$AM, 26, FALSE) / VLOOKUP("LULUCF|SO2|Asthma symptoms wheeze", US_national_yearly!$D:$AM, 10, FALSE), 1)</f>
        <v>2.3029304156537683E-4</v>
      </c>
      <c r="S8" s="7">
        <f>$B8 * IFERROR(VLOOKUP("LULUCF|SO2|Asthma symptoms wheeze", US_national_yearly!$D:$AM, 27, FALSE) / VLOOKUP("LULUCF|SO2|Asthma symptoms wheeze", US_national_yearly!$D:$AM, 10, FALSE), 1)</f>
        <v>2.3029304156537683E-4</v>
      </c>
      <c r="T8" s="7">
        <f>$B8 * IFERROR(VLOOKUP("LULUCF|SO2|Asthma symptoms wheeze", US_national_yearly!$D:$AM, 28, FALSE) / VLOOKUP("LULUCF|SO2|Asthma symptoms wheeze", US_national_yearly!$D:$AM, 10, FALSE), 1)</f>
        <v>2.3029304156537683E-4</v>
      </c>
      <c r="U8" s="7">
        <f>$B8 * IFERROR(VLOOKUP("LULUCF|SO2|Asthma symptoms wheeze", US_national_yearly!$D:$AM, 29, FALSE) / VLOOKUP("LULUCF|SO2|Asthma symptoms wheeze", US_national_yearly!$D:$AM, 10, FALSE), 1)</f>
        <v>2.3029304156537683E-4</v>
      </c>
      <c r="V8" s="7">
        <f>$B8 * IFERROR(VLOOKUP("LULUCF|SO2|Asthma symptoms wheeze", US_national_yearly!$D:$AM, 30, FALSE) / VLOOKUP("LULUCF|SO2|Asthma symptoms wheeze", US_national_yearly!$D:$AM, 10, FALSE), 1)</f>
        <v>2.3029304156537683E-4</v>
      </c>
      <c r="W8" s="7">
        <f>$B8 * IFERROR(VLOOKUP("LULUCF|SO2|Asthma symptoms wheeze", US_national_yearly!$D:$AM, 31, FALSE) / VLOOKUP("LULUCF|SO2|Asthma symptoms wheeze", US_national_yearly!$D:$AM, 10, FALSE), 1)</f>
        <v>2.3029304156537683E-4</v>
      </c>
      <c r="X8" s="7">
        <f>$B8 * IFERROR(VLOOKUP("LULUCF|SO2|Asthma symptoms wheeze", US_national_yearly!$D:$AM, 32, FALSE) / VLOOKUP("LULUCF|SO2|Asthma symptoms wheeze", US_national_yearly!$D:$AM, 10, FALSE), 1)</f>
        <v>2.3029304156537683E-4</v>
      </c>
      <c r="Y8" s="7">
        <f>$B8 * IFERROR(VLOOKUP("LULUCF|SO2|Asthma symptoms wheeze", US_national_yearly!$D:$AM, 33, FALSE) / VLOOKUP("LULUCF|SO2|Asthma symptoms wheeze", US_national_yearly!$D:$AM, 10, FALSE), 1)</f>
        <v>2.3029304156537683E-4</v>
      </c>
      <c r="Z8" s="7">
        <f>$B8 * IFERROR(VLOOKUP("LULUCF|SO2|Asthma symptoms wheeze", US_national_yearly!$D:$AM, 34, FALSE) / VLOOKUP("LULUCF|SO2|Asthma symptoms wheeze", US_national_yearly!$D:$AM, 10, FALSE), 1)</f>
        <v>2.3029304156537683E-4</v>
      </c>
      <c r="AA8" s="7">
        <f>$B8 * IFERROR(VLOOKUP("LULUCF|SO2|Asthma symptoms wheeze", US_national_yearly!$D:$AM, 35, FALSE) / VLOOKUP("LULUCF|SO2|Asthma symptoms wheeze", US_national_yearly!$D:$AM, 10, FALSE), 1)</f>
        <v>2.3029304156537683E-4</v>
      </c>
      <c r="AB8" s="7">
        <f>$B8 * IFERROR(VLOOKUP("LULUCF|SO2|Asthma symptoms wheeze", US_national_yearly!$D:$AM, 36, FALSE) / VLOOKUP("LULUCF|SO2|Asthma symptoms wheeze", US_national_yearly!$D:$AM, 10, FALSE), 1)</f>
        <v>2.3029304156537683E-4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4.2538223823842954E-6</v>
      </c>
      <c r="C12" s="7">
        <f>$B12 * IFERROR(VLOOKUP("LULUCF|SO2|Respiratory hospital admissions", US_national_yearly!$D:$AM, 11, FALSE) / VLOOKUP("LULUCF|SO2|Respiratory hospital admissions", US_national_yearly!$D:$AM, 10, FALSE), 1)</f>
        <v>4.2789116381888738E-6</v>
      </c>
      <c r="D12" s="7">
        <f>$B12 * IFERROR(VLOOKUP("LULUCF|SO2|Respiratory hospital admissions", US_national_yearly!$D:$AM, 12, FALSE) / VLOOKUP("LULUCF|SO2|Respiratory hospital admissions", US_national_yearly!$D:$AM, 10, FALSE), 1)</f>
        <v>4.3040008939934523E-6</v>
      </c>
      <c r="E12" s="7">
        <f>$B12 * IFERROR(VLOOKUP("LULUCF|SO2|Respiratory hospital admissions", US_national_yearly!$D:$AM, 13, FALSE) / VLOOKUP("LULUCF|SO2|Respiratory hospital admissions", US_national_yearly!$D:$AM, 10, FALSE), 1)</f>
        <v>4.3290901497980299E-6</v>
      </c>
      <c r="F12" s="7">
        <f>$B12 * IFERROR(VLOOKUP("LULUCF|SO2|Respiratory hospital admissions", US_national_yearly!$D:$AM, 14, FALSE) / VLOOKUP("LULUCF|SO2|Respiratory hospital admissions", US_national_yearly!$D:$AM, 10, FALSE), 1)</f>
        <v>4.3541794056026084E-6</v>
      </c>
      <c r="G12" s="7">
        <f>$B12 * IFERROR(VLOOKUP("LULUCF|SO2|Respiratory hospital admissions", US_national_yearly!$D:$AM, 15, FALSE) / VLOOKUP("LULUCF|SO2|Respiratory hospital admissions", US_national_yearly!$D:$AM, 10, FALSE), 1)</f>
        <v>4.3815309262593327E-6</v>
      </c>
      <c r="H12" s="7">
        <f>$B12 * IFERROR(VLOOKUP("LULUCF|SO2|Respiratory hospital admissions", US_national_yearly!$D:$AM, 16, FALSE) / VLOOKUP("LULUCF|SO2|Respiratory hospital admissions", US_national_yearly!$D:$AM, 10, FALSE), 1)</f>
        <v>4.4088824469160563E-6</v>
      </c>
      <c r="I12" s="7">
        <f>$B12 * IFERROR(VLOOKUP("LULUCF|SO2|Respiratory hospital admissions", US_national_yearly!$D:$AM, 17, FALSE) / VLOOKUP("LULUCF|SO2|Respiratory hospital admissions", US_national_yearly!$D:$AM, 10, FALSE), 1)</f>
        <v>4.4358543028686109E-6</v>
      </c>
      <c r="J12" s="7">
        <f>$B12 * IFERROR(VLOOKUP("LULUCF|SO2|Respiratory hospital admissions", US_national_yearly!$D:$AM, 18, FALSE) / VLOOKUP("LULUCF|SO2|Respiratory hospital admissions", US_national_yearly!$D:$AM, 10, FALSE), 1)</f>
        <v>4.4628261588211655E-6</v>
      </c>
      <c r="K12" s="7">
        <f>$B12 * IFERROR(VLOOKUP("LULUCF|SO2|Respiratory hospital admissions", US_national_yearly!$D:$AM, 19, FALSE) / VLOOKUP("LULUCF|SO2|Respiratory hospital admissions", US_national_yearly!$D:$AM, 10, FALSE), 1)</f>
        <v>4.4897980147737193E-6</v>
      </c>
      <c r="L12" s="7">
        <f>$B12 * IFERROR(VLOOKUP("LULUCF|SO2|Respiratory hospital admissions", US_national_yearly!$D:$AM, 20, FALSE) / VLOOKUP("LULUCF|SO2|Respiratory hospital admissions", US_national_yearly!$D:$AM, 10, FALSE), 1)</f>
        <v>4.5167698707262747E-6</v>
      </c>
      <c r="M12" s="7">
        <f>$B12 * IFERROR(VLOOKUP("LULUCF|SO2|Respiratory hospital admissions", US_national_yearly!$D:$AM, 21, FALSE) / VLOOKUP("LULUCF|SO2|Respiratory hospital admissions", US_national_yearly!$D:$AM, 10, FALSE), 1)</f>
        <v>4.5437417266788276E-6</v>
      </c>
      <c r="N12" s="7">
        <f>$B12 * IFERROR(VLOOKUP("LULUCF|SO2|Respiratory hospital admissions", US_national_yearly!$D:$AM, 22, FALSE) / VLOOKUP("LULUCF|SO2|Respiratory hospital admissions", US_national_yearly!$D:$AM, 10, FALSE), 1)</f>
        <v>4.563430348940823E-6</v>
      </c>
      <c r="O12" s="7">
        <f>$B12 * IFERROR(VLOOKUP("LULUCF|SO2|Respiratory hospital admissions", US_national_yearly!$D:$AM, 23, FALSE) / VLOOKUP("LULUCF|SO2|Respiratory hospital admissions", US_national_yearly!$D:$AM, 10, FALSE), 1)</f>
        <v>4.5831189712028175E-6</v>
      </c>
      <c r="P12" s="7">
        <f>$B12 * IFERROR(VLOOKUP("LULUCF|SO2|Respiratory hospital admissions", US_national_yearly!$D:$AM, 24, FALSE) / VLOOKUP("LULUCF|SO2|Respiratory hospital admissions", US_national_yearly!$D:$AM, 10, FALSE), 1)</f>
        <v>4.602807593464812E-6</v>
      </c>
      <c r="Q12" s="7">
        <f>$B12 * IFERROR(VLOOKUP("LULUCF|SO2|Respiratory hospital admissions", US_national_yearly!$D:$AM, 25, FALSE) / VLOOKUP("LULUCF|SO2|Respiratory hospital admissions", US_national_yearly!$D:$AM, 10, FALSE), 1)</f>
        <v>4.6224962157268073E-6</v>
      </c>
      <c r="R12" s="7">
        <f>$B12 * IFERROR(VLOOKUP("LULUCF|SO2|Respiratory hospital admissions", US_national_yearly!$D:$AM, 26, FALSE) / VLOOKUP("LULUCF|SO2|Respiratory hospital admissions", US_national_yearly!$D:$AM, 10, FALSE), 1)</f>
        <v>4.642184837988801E-6</v>
      </c>
      <c r="S12" s="7">
        <f>$B12 * IFERROR(VLOOKUP("LULUCF|SO2|Respiratory hospital admissions", US_national_yearly!$D:$AM, 27, FALSE) / VLOOKUP("LULUCF|SO2|Respiratory hospital admissions", US_national_yearly!$D:$AM, 10, FALSE), 1)</f>
        <v>4.6609662813424748E-6</v>
      </c>
      <c r="T12" s="7">
        <f>$B12 * IFERROR(VLOOKUP("LULUCF|SO2|Respiratory hospital admissions", US_national_yearly!$D:$AM, 28, FALSE) / VLOOKUP("LULUCF|SO2|Respiratory hospital admissions", US_national_yearly!$D:$AM, 10, FALSE), 1)</f>
        <v>4.6797477246961469E-6</v>
      </c>
      <c r="U12" s="7">
        <f>$B12 * IFERROR(VLOOKUP("LULUCF|SO2|Respiratory hospital admissions", US_national_yearly!$D:$AM, 29, FALSE) / VLOOKUP("LULUCF|SO2|Respiratory hospital admissions", US_national_yearly!$D:$AM, 10, FALSE), 1)</f>
        <v>4.6985291680498207E-6</v>
      </c>
      <c r="V12" s="7">
        <f>$B12 * IFERROR(VLOOKUP("LULUCF|SO2|Respiratory hospital admissions", US_national_yearly!$D:$AM, 30, FALSE) / VLOOKUP("LULUCF|SO2|Respiratory hospital admissions", US_national_yearly!$D:$AM, 10, FALSE), 1)</f>
        <v>4.7173106114034937E-6</v>
      </c>
      <c r="W12" s="7">
        <f>$B12 * IFERROR(VLOOKUP("LULUCF|SO2|Respiratory hospital admissions", US_national_yearly!$D:$AM, 31, FALSE) / VLOOKUP("LULUCF|SO2|Respiratory hospital admissions", US_national_yearly!$D:$AM, 10, FALSE), 1)</f>
        <v>4.7360920547571666E-6</v>
      </c>
      <c r="X12" s="7">
        <f>$B12 * IFERROR(VLOOKUP("LULUCF|SO2|Respiratory hospital admissions", US_national_yearly!$D:$AM, 32, FALSE) / VLOOKUP("LULUCF|SO2|Respiratory hospital admissions", US_national_yearly!$D:$AM, 10, FALSE), 1)</f>
        <v>4.753912560953251E-6</v>
      </c>
      <c r="Y12" s="7">
        <f>$B12 * IFERROR(VLOOKUP("LULUCF|SO2|Respiratory hospital admissions", US_national_yearly!$D:$AM, 33, FALSE) / VLOOKUP("LULUCF|SO2|Respiratory hospital admissions", US_national_yearly!$D:$AM, 10, FALSE), 1)</f>
        <v>4.7717330671493355E-6</v>
      </c>
      <c r="Z12" s="7">
        <f>$B12 * IFERROR(VLOOKUP("LULUCF|SO2|Respiratory hospital admissions", US_national_yearly!$D:$AM, 34, FALSE) / VLOOKUP("LULUCF|SO2|Respiratory hospital admissions", US_national_yearly!$D:$AM, 10, FALSE), 1)</f>
        <v>4.7895535733454191E-6</v>
      </c>
      <c r="AA12" s="7">
        <f>$B12 * IFERROR(VLOOKUP("LULUCF|SO2|Respiratory hospital admissions", US_national_yearly!$D:$AM, 35, FALSE) / VLOOKUP("LULUCF|SO2|Respiratory hospital admissions", US_national_yearly!$D:$AM, 10, FALSE), 1)</f>
        <v>4.8073740795415035E-6</v>
      </c>
      <c r="AB12" s="7">
        <f>$B12 * IFERROR(VLOOKUP("LULUCF|SO2|Respiratory hospital admissions", US_national_yearly!$D:$AM, 36, FALSE) / VLOOKUP("LULUCF|SO2|Respiratory hospital admissions", US_national_yearly!$D:$AM, 10, FALSE), 1)</f>
        <v>4.8251945857375888E-6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2.4870151531324815E-5</v>
      </c>
      <c r="C13" s="7">
        <f>$B13 * IFERROR(VLOOKUP("LULUCF|SO2|Non-fatal heart attacks", US_national_yearly!$D:$AM, 11, FALSE) / VLOOKUP("LULUCF|SO2|Non-fatal heart attacks", US_national_yearly!$D:$AM, 10, FALSE), 1)</f>
        <v>2.5600248846941102E-5</v>
      </c>
      <c r="D13" s="7">
        <f>$B13 * IFERROR(VLOOKUP("LULUCF|SO2|Non-fatal heart attacks", US_national_yearly!$D:$AM, 12, FALSE) / VLOOKUP("LULUCF|SO2|Non-fatal heart attacks", US_national_yearly!$D:$AM, 10, FALSE), 1)</f>
        <v>2.633034616255739E-5</v>
      </c>
      <c r="E13" s="7">
        <f>$B13 * IFERROR(VLOOKUP("LULUCF|SO2|Non-fatal heart attacks", US_national_yearly!$D:$AM, 13, FALSE) / VLOOKUP("LULUCF|SO2|Non-fatal heart attacks", US_national_yearly!$D:$AM, 10, FALSE), 1)</f>
        <v>2.706044347817368E-5</v>
      </c>
      <c r="F13" s="7">
        <f>$B13 * IFERROR(VLOOKUP("LULUCF|SO2|Non-fatal heart attacks", US_national_yearly!$D:$AM, 14, FALSE) / VLOOKUP("LULUCF|SO2|Non-fatal heart attacks", US_national_yearly!$D:$AM, 10, FALSE), 1)</f>
        <v>2.7790540793789961E-5</v>
      </c>
      <c r="G13" s="7">
        <f>$B13 * IFERROR(VLOOKUP("LULUCF|SO2|Non-fatal heart attacks", US_national_yearly!$D:$AM, 15, FALSE) / VLOOKUP("LULUCF|SO2|Non-fatal heart attacks", US_national_yearly!$D:$AM, 10, FALSE), 1)</f>
        <v>2.8479090283079189E-5</v>
      </c>
      <c r="H13" s="7">
        <f>$B13 * IFERROR(VLOOKUP("LULUCF|SO2|Non-fatal heart attacks", US_national_yearly!$D:$AM, 16, FALSE) / VLOOKUP("LULUCF|SO2|Non-fatal heart attacks", US_national_yearly!$D:$AM, 10, FALSE), 1)</f>
        <v>2.9167639772368418E-5</v>
      </c>
      <c r="I13" s="7">
        <f>$B13 * IFERROR(VLOOKUP("LULUCF|SO2|Non-fatal heart attacks", US_national_yearly!$D:$AM, 17, FALSE) / VLOOKUP("LULUCF|SO2|Non-fatal heart attacks", US_national_yearly!$D:$AM, 10, FALSE), 1)</f>
        <v>2.9721706260964221E-5</v>
      </c>
      <c r="J13" s="7">
        <f>$B13 * IFERROR(VLOOKUP("LULUCF|SO2|Non-fatal heart attacks", US_national_yearly!$D:$AM, 18, FALSE) / VLOOKUP("LULUCF|SO2|Non-fatal heart attacks", US_national_yearly!$D:$AM, 10, FALSE), 1)</f>
        <v>3.027577274956003E-5</v>
      </c>
      <c r="K13" s="7">
        <f>$B13 * IFERROR(VLOOKUP("LULUCF|SO2|Non-fatal heart attacks", US_national_yearly!$D:$AM, 19, FALSE) / VLOOKUP("LULUCF|SO2|Non-fatal heart attacks", US_national_yearly!$D:$AM, 10, FALSE), 1)</f>
        <v>3.0829839238155837E-5</v>
      </c>
      <c r="L13" s="7">
        <f>$B13 * IFERROR(VLOOKUP("LULUCF|SO2|Non-fatal heart attacks", US_national_yearly!$D:$AM, 20, FALSE) / VLOOKUP("LULUCF|SO2|Non-fatal heart attacks", US_national_yearly!$D:$AM, 10, FALSE), 1)</f>
        <v>3.138390572675165E-5</v>
      </c>
      <c r="M13" s="7">
        <f>$B13 * IFERROR(VLOOKUP("LULUCF|SO2|Non-fatal heart attacks", US_national_yearly!$D:$AM, 21, FALSE) / VLOOKUP("LULUCF|SO2|Non-fatal heart attacks", US_national_yearly!$D:$AM, 10, FALSE), 1)</f>
        <v>3.1937972215347463E-5</v>
      </c>
      <c r="N13" s="7">
        <f>$B13 * IFERROR(VLOOKUP("LULUCF|SO2|Non-fatal heart attacks", US_national_yearly!$D:$AM, 22, FALSE) / VLOOKUP("LULUCF|SO2|Non-fatal heart attacks", US_national_yearly!$D:$AM, 10, FALSE), 1)</f>
        <v>3.2297734280404023E-5</v>
      </c>
      <c r="O13" s="7">
        <f>$B13 * IFERROR(VLOOKUP("LULUCF|SO2|Non-fatal heart attacks", US_national_yearly!$D:$AM, 23, FALSE) / VLOOKUP("LULUCF|SO2|Non-fatal heart attacks", US_national_yearly!$D:$AM, 10, FALSE), 1)</f>
        <v>3.2657496345460598E-5</v>
      </c>
      <c r="P13" s="7">
        <f>$B13 * IFERROR(VLOOKUP("LULUCF|SO2|Non-fatal heart attacks", US_national_yearly!$D:$AM, 24, FALSE) / VLOOKUP("LULUCF|SO2|Non-fatal heart attacks", US_national_yearly!$D:$AM, 10, FALSE), 1)</f>
        <v>3.3017258410517172E-5</v>
      </c>
      <c r="Q13" s="7">
        <f>$B13 * IFERROR(VLOOKUP("LULUCF|SO2|Non-fatal heart attacks", US_national_yearly!$D:$AM, 25, FALSE) / VLOOKUP("LULUCF|SO2|Non-fatal heart attacks", US_national_yearly!$D:$AM, 10, FALSE), 1)</f>
        <v>3.337702047557374E-5</v>
      </c>
      <c r="R13" s="7">
        <f>$B13 * IFERROR(VLOOKUP("LULUCF|SO2|Non-fatal heart attacks", US_national_yearly!$D:$AM, 26, FALSE) / VLOOKUP("LULUCF|SO2|Non-fatal heart attacks", US_national_yearly!$D:$AM, 10, FALSE), 1)</f>
        <v>3.3736782540630308E-5</v>
      </c>
      <c r="S13" s="7">
        <f>$B13 * IFERROR(VLOOKUP("LULUCF|SO2|Non-fatal heart attacks", US_national_yearly!$D:$AM, 27, FALSE) / VLOOKUP("LULUCF|SO2|Non-fatal heart attacks", US_national_yearly!$D:$AM, 10, FALSE), 1)</f>
        <v>3.3924612291210622E-5</v>
      </c>
      <c r="T13" s="7">
        <f>$B13 * IFERROR(VLOOKUP("LULUCF|SO2|Non-fatal heart attacks", US_national_yearly!$D:$AM, 28, FALSE) / VLOOKUP("LULUCF|SO2|Non-fatal heart attacks", US_national_yearly!$D:$AM, 10, FALSE), 1)</f>
        <v>3.4112442041790936E-5</v>
      </c>
      <c r="U13" s="7">
        <f>$B13 * IFERROR(VLOOKUP("LULUCF|SO2|Non-fatal heart attacks", US_national_yearly!$D:$AM, 29, FALSE) / VLOOKUP("LULUCF|SO2|Non-fatal heart attacks", US_national_yearly!$D:$AM, 10, FALSE), 1)</f>
        <v>3.4300271792371243E-5</v>
      </c>
      <c r="V13" s="7">
        <f>$B13 * IFERROR(VLOOKUP("LULUCF|SO2|Non-fatal heart attacks", US_national_yearly!$D:$AM, 30, FALSE) / VLOOKUP("LULUCF|SO2|Non-fatal heart attacks", US_national_yearly!$D:$AM, 10, FALSE), 1)</f>
        <v>3.448810154295155E-5</v>
      </c>
      <c r="W13" s="7">
        <f>$B13 * IFERROR(VLOOKUP("LULUCF|SO2|Non-fatal heart attacks", US_national_yearly!$D:$AM, 31, FALSE) / VLOOKUP("LULUCF|SO2|Non-fatal heart attacks", US_national_yearly!$D:$AM, 10, FALSE), 1)</f>
        <v>3.4675931293531871E-5</v>
      </c>
      <c r="X13" s="7">
        <f>$B13 * IFERROR(VLOOKUP("LULUCF|SO2|Non-fatal heart attacks", US_national_yearly!$D:$AM, 32, FALSE) / VLOOKUP("LULUCF|SO2|Non-fatal heart attacks", US_national_yearly!$D:$AM, 10, FALSE), 1)</f>
        <v>3.4817726325028356E-5</v>
      </c>
      <c r="Y13" s="7">
        <f>$B13 * IFERROR(VLOOKUP("LULUCF|SO2|Non-fatal heart attacks", US_national_yearly!$D:$AM, 33, FALSE) / VLOOKUP("LULUCF|SO2|Non-fatal heart attacks", US_national_yearly!$D:$AM, 10, FALSE), 1)</f>
        <v>3.4959521356524842E-5</v>
      </c>
      <c r="Z13" s="7">
        <f>$B13 * IFERROR(VLOOKUP("LULUCF|SO2|Non-fatal heart attacks", US_national_yearly!$D:$AM, 34, FALSE) / VLOOKUP("LULUCF|SO2|Non-fatal heart attacks", US_national_yearly!$D:$AM, 10, FALSE), 1)</f>
        <v>3.5101316388021327E-5</v>
      </c>
      <c r="AA13" s="7">
        <f>$B13 * IFERROR(VLOOKUP("LULUCF|SO2|Non-fatal heart attacks", US_national_yearly!$D:$AM, 35, FALSE) / VLOOKUP("LULUCF|SO2|Non-fatal heart attacks", US_national_yearly!$D:$AM, 10, FALSE), 1)</f>
        <v>3.5243111419517812E-5</v>
      </c>
      <c r="AB13" s="7">
        <f>$B13 * IFERROR(VLOOKUP("LULUCF|SO2|Non-fatal heart attacks", US_national_yearly!$D:$AM, 36, FALSE) / VLOOKUP("LULUCF|SO2|Non-fatal heart attacks", US_national_yearly!$D:$AM, 10, FALSE), 1)</f>
        <v>3.5384906451014298E-5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1.6494509836789493E-2</v>
      </c>
      <c r="C14" s="7">
        <f>$B14 * IFERROR(VLOOKUP("LULUCF|SO2|Minor restricted activity days", US_national_yearly!$D:$AM, 11, FALSE) / VLOOKUP("LULUCF|SO2|Minor restricted activity days", US_national_yearly!$D:$AM, 10, FALSE), 1)</f>
        <v>1.6536087000244001E-2</v>
      </c>
      <c r="D14" s="7">
        <f>$B14 * IFERROR(VLOOKUP("LULUCF|SO2|Minor restricted activity days", US_national_yearly!$D:$AM, 12, FALSE) / VLOOKUP("LULUCF|SO2|Minor restricted activity days", US_national_yearly!$D:$AM, 10, FALSE), 1)</f>
        <v>1.6577664163698502E-2</v>
      </c>
      <c r="E14" s="7">
        <f>$B14 * IFERROR(VLOOKUP("LULUCF|SO2|Minor restricted activity days", US_national_yearly!$D:$AM, 13, FALSE) / VLOOKUP("LULUCF|SO2|Minor restricted activity days", US_national_yearly!$D:$AM, 10, FALSE), 1)</f>
        <v>1.6619241327153009E-2</v>
      </c>
      <c r="F14" s="7">
        <f>$B14 * IFERROR(VLOOKUP("LULUCF|SO2|Minor restricted activity days", US_national_yearly!$D:$AM, 14, FALSE) / VLOOKUP("LULUCF|SO2|Minor restricted activity days", US_national_yearly!$D:$AM, 10, FALSE), 1)</f>
        <v>1.6660818490607514E-2</v>
      </c>
      <c r="G14" s="7">
        <f>$B14 * IFERROR(VLOOKUP("LULUCF|SO2|Minor restricted activity days", US_national_yearly!$D:$AM, 15, FALSE) / VLOOKUP("LULUCF|SO2|Minor restricted activity days", US_national_yearly!$D:$AM, 10, FALSE), 1)</f>
        <v>1.6722015990649198E-2</v>
      </c>
      <c r="H14" s="7">
        <f>$B14 * IFERROR(VLOOKUP("LULUCF|SO2|Minor restricted activity days", US_national_yearly!$D:$AM, 16, FALSE) / VLOOKUP("LULUCF|SO2|Minor restricted activity days", US_national_yearly!$D:$AM, 10, FALSE), 1)</f>
        <v>1.6783213490690885E-2</v>
      </c>
      <c r="I14" s="7">
        <f>$B14 * IFERROR(VLOOKUP("LULUCF|SO2|Minor restricted activity days", US_national_yearly!$D:$AM, 17, FALSE) / VLOOKUP("LULUCF|SO2|Minor restricted activity days", US_national_yearly!$D:$AM, 10, FALSE), 1)</f>
        <v>1.6887580122736646E-2</v>
      </c>
      <c r="J14" s="7">
        <f>$B14 * IFERROR(VLOOKUP("LULUCF|SO2|Minor restricted activity days", US_national_yearly!$D:$AM, 18, FALSE) / VLOOKUP("LULUCF|SO2|Minor restricted activity days", US_national_yearly!$D:$AM, 10, FALSE), 1)</f>
        <v>1.6991946754782404E-2</v>
      </c>
      <c r="K14" s="7">
        <f>$B14 * IFERROR(VLOOKUP("LULUCF|SO2|Minor restricted activity days", US_national_yearly!$D:$AM, 19, FALSE) / VLOOKUP("LULUCF|SO2|Minor restricted activity days", US_national_yearly!$D:$AM, 10, FALSE), 1)</f>
        <v>1.7096313386828169E-2</v>
      </c>
      <c r="L14" s="7">
        <f>$B14 * IFERROR(VLOOKUP("LULUCF|SO2|Minor restricted activity days", US_national_yearly!$D:$AM, 20, FALSE) / VLOOKUP("LULUCF|SO2|Minor restricted activity days", US_national_yearly!$D:$AM, 10, FALSE), 1)</f>
        <v>1.7200680018873926E-2</v>
      </c>
      <c r="M14" s="7">
        <f>$B14 * IFERROR(VLOOKUP("LULUCF|SO2|Minor restricted activity days", US_national_yearly!$D:$AM, 21, FALSE) / VLOOKUP("LULUCF|SO2|Minor restricted activity days", US_national_yearly!$D:$AM, 10, FALSE), 1)</f>
        <v>1.7305046650919687E-2</v>
      </c>
      <c r="N14" s="7">
        <f>$B14 * IFERROR(VLOOKUP("LULUCF|SO2|Minor restricted activity days", US_national_yearly!$D:$AM, 22, FALSE) / VLOOKUP("LULUCF|SO2|Minor restricted activity days", US_national_yearly!$D:$AM, 10, FALSE), 1)</f>
        <v>1.7447803456995131E-2</v>
      </c>
      <c r="O14" s="7">
        <f>$B14 * IFERROR(VLOOKUP("LULUCF|SO2|Minor restricted activity days", US_national_yearly!$D:$AM, 23, FALSE) / VLOOKUP("LULUCF|SO2|Minor restricted activity days", US_national_yearly!$D:$AM, 10, FALSE), 1)</f>
        <v>1.7590560263070574E-2</v>
      </c>
      <c r="P14" s="7">
        <f>$B14 * IFERROR(VLOOKUP("LULUCF|SO2|Minor restricted activity days", US_national_yearly!$D:$AM, 24, FALSE) / VLOOKUP("LULUCF|SO2|Minor restricted activity days", US_national_yearly!$D:$AM, 10, FALSE), 1)</f>
        <v>1.7733317069146014E-2</v>
      </c>
      <c r="Q14" s="7">
        <f>$B14 * IFERROR(VLOOKUP("LULUCF|SO2|Minor restricted activity days", US_national_yearly!$D:$AM, 25, FALSE) / VLOOKUP("LULUCF|SO2|Minor restricted activity days", US_national_yearly!$D:$AM, 10, FALSE), 1)</f>
        <v>1.7876073875221457E-2</v>
      </c>
      <c r="R14" s="7">
        <f>$B14 * IFERROR(VLOOKUP("LULUCF|SO2|Minor restricted activity days", US_national_yearly!$D:$AM, 26, FALSE) / VLOOKUP("LULUCF|SO2|Minor restricted activity days", US_national_yearly!$D:$AM, 10, FALSE), 1)</f>
        <v>1.80188306812969E-2</v>
      </c>
      <c r="S14" s="7">
        <f>$B14 * IFERROR(VLOOKUP("LULUCF|SO2|Minor restricted activity days", US_national_yearly!$D:$AM, 27, FALSE) / VLOOKUP("LULUCF|SO2|Minor restricted activity days", US_national_yearly!$D:$AM, 10, FALSE), 1)</f>
        <v>1.8164385217259729E-2</v>
      </c>
      <c r="T14" s="7">
        <f>$B14 * IFERROR(VLOOKUP("LULUCF|SO2|Minor restricted activity days", US_national_yearly!$D:$AM, 28, FALSE) / VLOOKUP("LULUCF|SO2|Minor restricted activity days", US_national_yearly!$D:$AM, 10, FALSE), 1)</f>
        <v>1.8309939753222555E-2</v>
      </c>
      <c r="U14" s="7">
        <f>$B14 * IFERROR(VLOOKUP("LULUCF|SO2|Minor restricted activity days", US_national_yearly!$D:$AM, 29, FALSE) / VLOOKUP("LULUCF|SO2|Minor restricted activity days", US_national_yearly!$D:$AM, 10, FALSE), 1)</f>
        <v>1.8455494289185383E-2</v>
      </c>
      <c r="V14" s="7">
        <f>$B14 * IFERROR(VLOOKUP("LULUCF|SO2|Minor restricted activity days", US_national_yearly!$D:$AM, 30, FALSE) / VLOOKUP("LULUCF|SO2|Minor restricted activity days", US_national_yearly!$D:$AM, 10, FALSE), 1)</f>
        <v>1.8601048825148212E-2</v>
      </c>
      <c r="W14" s="7">
        <f>$B14 * IFERROR(VLOOKUP("LULUCF|SO2|Minor restricted activity days", US_national_yearly!$D:$AM, 31, FALSE) / VLOOKUP("LULUCF|SO2|Minor restricted activity days", US_national_yearly!$D:$AM, 10, FALSE), 1)</f>
        <v>1.8746603361111041E-2</v>
      </c>
      <c r="X14" s="7">
        <f>$B14 * IFERROR(VLOOKUP("LULUCF|SO2|Minor restricted activity days", US_national_yearly!$D:$AM, 32, FALSE) / VLOOKUP("LULUCF|SO2|Minor restricted activity days", US_national_yearly!$D:$AM, 10, FALSE), 1)</f>
        <v>1.8874606976421654E-2</v>
      </c>
      <c r="Y14" s="7">
        <f>$B14 * IFERROR(VLOOKUP("LULUCF|SO2|Minor restricted activity days", US_national_yearly!$D:$AM, 33, FALSE) / VLOOKUP("LULUCF|SO2|Minor restricted activity days", US_national_yearly!$D:$AM, 10, FALSE), 1)</f>
        <v>1.9002610591732267E-2</v>
      </c>
      <c r="Z14" s="7">
        <f>$B14 * IFERROR(VLOOKUP("LULUCF|SO2|Minor restricted activity days", US_national_yearly!$D:$AM, 34, FALSE) / VLOOKUP("LULUCF|SO2|Minor restricted activity days", US_national_yearly!$D:$AM, 10, FALSE), 1)</f>
        <v>1.9130614207042883E-2</v>
      </c>
      <c r="AA14" s="7">
        <f>$B14 * IFERROR(VLOOKUP("LULUCF|SO2|Minor restricted activity days", US_national_yearly!$D:$AM, 35, FALSE) / VLOOKUP("LULUCF|SO2|Minor restricted activity days", US_national_yearly!$D:$AM, 10, FALSE), 1)</f>
        <v>1.9258617822353497E-2</v>
      </c>
      <c r="AB14" s="7">
        <f>$B14 * IFERROR(VLOOKUP("LULUCF|SO2|Minor restricted activity days", US_national_yearly!$D:$AM, 36, FALSE) / VLOOKUP("LULUCF|SO2|Minor restricted activity days", US_national_yearly!$D:$AM, 10, FALSE), 1)</f>
        <v>1.9386621437664113E-2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2.7611442001298156E-3</v>
      </c>
      <c r="C15" s="7">
        <f>$B15 * IFERROR(VLOOKUP("LULUCF|SO2|Work loss days", US_national_yearly!$D:$AM, 11, FALSE) / VLOOKUP("LULUCF|SO2|Work loss days", US_national_yearly!$D:$AM, 10, FALSE), 1)</f>
        <v>2.7700898684931835E-3</v>
      </c>
      <c r="D15" s="7">
        <f>$B15 * IFERROR(VLOOKUP("LULUCF|SO2|Work loss days", US_national_yearly!$D:$AM, 12, FALSE) / VLOOKUP("LULUCF|SO2|Work loss days", US_national_yearly!$D:$AM, 10, FALSE), 1)</f>
        <v>2.7790355368565514E-3</v>
      </c>
      <c r="E15" s="7">
        <f>$B15 * IFERROR(VLOOKUP("LULUCF|SO2|Work loss days", US_national_yearly!$D:$AM, 13, FALSE) / VLOOKUP("LULUCF|SO2|Work loss days", US_national_yearly!$D:$AM, 10, FALSE), 1)</f>
        <v>2.7879812052199193E-3</v>
      </c>
      <c r="F15" s="7">
        <f>$B15 * IFERROR(VLOOKUP("LULUCF|SO2|Work loss days", US_national_yearly!$D:$AM, 14, FALSE) / VLOOKUP("LULUCF|SO2|Work loss days", US_national_yearly!$D:$AM, 10, FALSE), 1)</f>
        <v>2.7969268735832868E-3</v>
      </c>
      <c r="G15" s="7">
        <f>$B15 * IFERROR(VLOOKUP("LULUCF|SO2|Work loss days", US_national_yearly!$D:$AM, 15, FALSE) / VLOOKUP("LULUCF|SO2|Work loss days", US_national_yearly!$D:$AM, 10, FALSE), 1)</f>
        <v>2.8086154838725119E-3</v>
      </c>
      <c r="H15" s="7">
        <f>$B15 * IFERROR(VLOOKUP("LULUCF|SO2|Work loss days", US_national_yearly!$D:$AM, 16, FALSE) / VLOOKUP("LULUCF|SO2|Work loss days", US_national_yearly!$D:$AM, 10, FALSE), 1)</f>
        <v>2.8203040941617357E-3</v>
      </c>
      <c r="I15" s="7">
        <f>$B15 * IFERROR(VLOOKUP("LULUCF|SO2|Work loss days", US_national_yearly!$D:$AM, 17, FALSE) / VLOOKUP("LULUCF|SO2|Work loss days", US_national_yearly!$D:$AM, 10, FALSE), 1)</f>
        <v>2.8374029619321409E-3</v>
      </c>
      <c r="J15" s="7">
        <f>$B15 * IFERROR(VLOOKUP("LULUCF|SO2|Work loss days", US_national_yearly!$D:$AM, 18, FALSE) / VLOOKUP("LULUCF|SO2|Work loss days", US_national_yearly!$D:$AM, 10, FALSE), 1)</f>
        <v>2.8545018297025451E-3</v>
      </c>
      <c r="K15" s="7">
        <f>$B15 * IFERROR(VLOOKUP("LULUCF|SO2|Work loss days", US_national_yearly!$D:$AM, 19, FALSE) / VLOOKUP("LULUCF|SO2|Work loss days", US_national_yearly!$D:$AM, 10, FALSE), 1)</f>
        <v>2.8716006974729498E-3</v>
      </c>
      <c r="L15" s="7">
        <f>$B15 * IFERROR(VLOOKUP("LULUCF|SO2|Work loss days", US_national_yearly!$D:$AM, 20, FALSE) / VLOOKUP("LULUCF|SO2|Work loss days", US_national_yearly!$D:$AM, 10, FALSE), 1)</f>
        <v>2.8886995652433545E-3</v>
      </c>
      <c r="M15" s="7">
        <f>$B15 * IFERROR(VLOOKUP("LULUCF|SO2|Work loss days", US_national_yearly!$D:$AM, 21, FALSE) / VLOOKUP("LULUCF|SO2|Work loss days", US_national_yearly!$D:$AM, 10, FALSE), 1)</f>
        <v>2.9057984330137592E-3</v>
      </c>
      <c r="N15" s="7">
        <f>$B15 * IFERROR(VLOOKUP("LULUCF|SO2|Work loss days", US_national_yearly!$D:$AM, 22, FALSE) / VLOOKUP("LULUCF|SO2|Work loss days", US_national_yearly!$D:$AM, 10, FALSE), 1)</f>
        <v>2.9272376423164388E-3</v>
      </c>
      <c r="O15" s="7">
        <f>$B15 * IFERROR(VLOOKUP("LULUCF|SO2|Work loss days", US_national_yearly!$D:$AM, 23, FALSE) / VLOOKUP("LULUCF|SO2|Work loss days", US_national_yearly!$D:$AM, 10, FALSE), 1)</f>
        <v>2.9486768516191184E-3</v>
      </c>
      <c r="P15" s="7">
        <f>$B15 * IFERROR(VLOOKUP("LULUCF|SO2|Work loss days", US_national_yearly!$D:$AM, 24, FALSE) / VLOOKUP("LULUCF|SO2|Work loss days", US_national_yearly!$D:$AM, 10, FALSE), 1)</f>
        <v>2.9701160609217976E-3</v>
      </c>
      <c r="Q15" s="7">
        <f>$B15 * IFERROR(VLOOKUP("LULUCF|SO2|Work loss days", US_national_yearly!$D:$AM, 25, FALSE) / VLOOKUP("LULUCF|SO2|Work loss days", US_national_yearly!$D:$AM, 10, FALSE), 1)</f>
        <v>2.9915552702244773E-3</v>
      </c>
      <c r="R15" s="7">
        <f>$B15 * IFERROR(VLOOKUP("LULUCF|SO2|Work loss days", US_national_yearly!$D:$AM, 26, FALSE) / VLOOKUP("LULUCF|SO2|Work loss days", US_national_yearly!$D:$AM, 10, FALSE), 1)</f>
        <v>3.0129944795271569E-3</v>
      </c>
      <c r="S15" s="7">
        <f>$B15 * IFERROR(VLOOKUP("LULUCF|SO2|Work loss days", US_national_yearly!$D:$AM, 27, FALSE) / VLOOKUP("LULUCF|SO2|Work loss days", US_national_yearly!$D:$AM, 10, FALSE), 1)</f>
        <v>3.0369527252387309E-3</v>
      </c>
      <c r="T15" s="7">
        <f>$B15 * IFERROR(VLOOKUP("LULUCF|SO2|Work loss days", US_national_yearly!$D:$AM, 28, FALSE) / VLOOKUP("LULUCF|SO2|Work loss days", US_national_yearly!$D:$AM, 10, FALSE), 1)</f>
        <v>3.0609109709503054E-3</v>
      </c>
      <c r="U15" s="7">
        <f>$B15 * IFERROR(VLOOKUP("LULUCF|SO2|Work loss days", US_national_yearly!$D:$AM, 29, FALSE) / VLOOKUP("LULUCF|SO2|Work loss days", US_national_yearly!$D:$AM, 10, FALSE), 1)</f>
        <v>3.0848692166618795E-3</v>
      </c>
      <c r="V15" s="7">
        <f>$B15 * IFERROR(VLOOKUP("LULUCF|SO2|Work loss days", US_national_yearly!$D:$AM, 30, FALSE) / VLOOKUP("LULUCF|SO2|Work loss days", US_national_yearly!$D:$AM, 10, FALSE), 1)</f>
        <v>3.1088274623734535E-3</v>
      </c>
      <c r="W15" s="7">
        <f>$B15 * IFERROR(VLOOKUP("LULUCF|SO2|Work loss days", US_national_yearly!$D:$AM, 31, FALSE) / VLOOKUP("LULUCF|SO2|Work loss days", US_national_yearly!$D:$AM, 10, FALSE), 1)</f>
        <v>3.1327857080850285E-3</v>
      </c>
      <c r="X15" s="7">
        <f>$B15 * IFERROR(VLOOKUP("LULUCF|SO2|Work loss days", US_national_yearly!$D:$AM, 32, FALSE) / VLOOKUP("LULUCF|SO2|Work loss days", US_national_yearly!$D:$AM, 10, FALSE), 1)</f>
        <v>3.1542969104105226E-3</v>
      </c>
      <c r="Y15" s="7">
        <f>$B15 * IFERROR(VLOOKUP("LULUCF|SO2|Work loss days", US_national_yearly!$D:$AM, 33, FALSE) / VLOOKUP("LULUCF|SO2|Work loss days", US_national_yearly!$D:$AM, 10, FALSE), 1)</f>
        <v>3.1758081127360176E-3</v>
      </c>
      <c r="Z15" s="7">
        <f>$B15 * IFERROR(VLOOKUP("LULUCF|SO2|Work loss days", US_national_yearly!$D:$AM, 34, FALSE) / VLOOKUP("LULUCF|SO2|Work loss days", US_national_yearly!$D:$AM, 10, FALSE), 1)</f>
        <v>3.1973193150615126E-3</v>
      </c>
      <c r="AA15" s="7">
        <f>$B15 * IFERROR(VLOOKUP("LULUCF|SO2|Work loss days", US_national_yearly!$D:$AM, 35, FALSE) / VLOOKUP("LULUCF|SO2|Work loss days", US_national_yearly!$D:$AM, 10, FALSE), 1)</f>
        <v>3.2188305173870076E-3</v>
      </c>
      <c r="AB15" s="7">
        <f>$B15 * IFERROR(VLOOKUP("LULUCF|SO2|Work loss days", US_national_yearly!$D:$AM, 36, FALSE) / VLOOKUP("LULUCF|SO2|Work loss days", US_national_yearly!$D:$AM, 10, FALSE), 1)</f>
        <v>3.2403417197125021E-3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6.0893462755429521E-6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6.2735114255905713E-6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6.4576765756381905E-6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6.6418417256858097E-6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6.8260068757334306E-6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7.0024195781103978E-6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7.1788322804873666E-6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7.3299835397860896E-6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7.4811347990848117E-6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7.6322860583835346E-6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7.7834373176822567E-6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7.9345885769809788E-6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8.0361277925188975E-6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8.1376670080568145E-6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8.2392062235947332E-6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8.3407454391326502E-6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8.4422846546705689E-6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8.4956870524446142E-6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8.5490894502186612E-6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8.6024918479927065E-6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8.6558942457667535E-6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8.7092966435407988E-6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8.745147438514912E-6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8.7809982334890253E-6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8.8168490284631385E-6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8.8526998234372518E-6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8.8885506184113634E-6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2026-06-15T17:16:19Z</dcterms:modified>
</cp:coreProperties>
</file>