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1FD7E92E-EC35-453D-86CC-F0E57D0770B5}"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D4" i="11" s="1"/>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<sst xmlns="http://schemas.openxmlformats.org/spreadsheetml/2006/main" count="5677" uniqueCount="335">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</sst>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125</v>
      </c>
    </row>
    <row r="2" spans="1:2" x14ac:dyDescent="0.25">
      <c r="A2" s="3" t="s">
        <v>2</v>
      </c>
      <c r="B2" s="4" t="str">
        <f>IFERROR(INDEX(Geography!B:B, MATCH($B$1, Geography!C:C, 0)), "")</f>
        <v>NH</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703367</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1.0069117663082927</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705665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0.99320452637508494</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1300268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1.2280021249169237</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30287</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0.15734329559343796</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45291</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0.49780124812772886</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33186</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0.4974543802248233</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70912</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0.2579011548509782</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1338120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1409032</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1.1799230608068041</v>
      </c>
    </row>
    <row r="12" spans="1:28" x14ac:dyDescent="0.25">
      <c r="A12" s="4" t="s">
        <v>319</v>
      </c>
    </row>
    <row r="13" spans="1:28" x14ac:dyDescent="0.25">
      <c r="A13" s="4" t="s">
        <v>320</v>
      </c>
      <c r="B13" s="37">
        <f>INDEX(Census_pop_2020_2025!G:G, MATCH("."&amp;About!$B$1, Census_pop_2020_2025!A:A, 0))</f>
        <v>1408518</v>
      </c>
      <c r="C13" s="37">
        <f>INDEX(Census_pop_2020_2025!H:H, MATCH("."&amp;About!$B$1, Census_pop_2020_2025!A:A, 0))</f>
        <v>1415342</v>
      </c>
      <c r="D13" s="37">
        <f>INDEX(Census_pop_2020_2025!H:H, MATCH("."&amp;About!$B$1, Census_pop_2020_2025!A:A, 0))+0.2*(INDEX(Cooper_pop_2030_2050!D:D, MATCH(About!$B$1, Cooper_pop_2030_2050!B:B, 0))-INDEX(Census_pop_2020_2025!H:H, MATCH("."&amp;About!$B$1, Census_pop_2020_2025!A:A, 0)))</f>
        <v>1417221.4468431489</v>
      </c>
      <c r="E13" s="37">
        <f>INDEX(Census_pop_2020_2025!H:H, MATCH("."&amp;About!$B$1, Census_pop_2020_2025!A:A, 0))+0.4*(INDEX(Cooper_pop_2030_2050!D:D, MATCH(About!$B$1, Cooper_pop_2030_2050!B:B, 0))-INDEX(Census_pop_2020_2025!H:H, MATCH("."&amp;About!$B$1, Census_pop_2020_2025!A:A, 0)))</f>
        <v>1419100.8936862976</v>
      </c>
      <c r="F13" s="37">
        <f>INDEX(Census_pop_2020_2025!H:H, MATCH("."&amp;About!$B$1, Census_pop_2020_2025!A:A, 0))+0.6*(INDEX(Cooper_pop_2030_2050!D:D, MATCH(About!$B$1, Cooper_pop_2030_2050!B:B, 0))-INDEX(Census_pop_2020_2025!H:H, MATCH("."&amp;About!$B$1, Census_pop_2020_2025!A:A, 0)))</f>
        <v>1420980.3405294465</v>
      </c>
      <c r="G13" s="37">
        <f>INDEX(Census_pop_2020_2025!H:H, MATCH("."&amp;About!$B$1, Census_pop_2020_2025!A:A, 0))+0.8*(INDEX(Cooper_pop_2030_2050!D:D, MATCH(About!$B$1, Cooper_pop_2030_2050!B:B, 0))-INDEX(Census_pop_2020_2025!H:H, MATCH("."&amp;About!$B$1, Census_pop_2020_2025!A:A, 0)))</f>
        <v>1422859.7873725952</v>
      </c>
      <c r="H13" s="37">
        <f>INDEX(Cooper_pop_2030_2050!D:D, MATCH(About!$B$1, Cooper_pop_2030_2050!B:B, 0))</f>
        <v>1424739.2342157441</v>
      </c>
      <c r="I13" s="37">
        <f>INDEX(Cooper_pop_2030_2050!D:D, MATCH(About!$B$1, Cooper_pop_2030_2050!B:B, 0))+0.1*(INDEX(Cooper_pop_2030_2050!E:E, MATCH(About!$B$1, Cooper_pop_2030_2050!B:B, 0))-INDEX(Cooper_pop_2030_2050!D:D, MATCH(About!$B$1, Cooper_pop_2030_2050!B:B, 0)))</f>
        <v>1425599.9946400253</v>
      </c>
      <c r="J13" s="37">
        <f>INDEX(Cooper_pop_2030_2050!D:D, MATCH(About!$B$1, Cooper_pop_2030_2050!B:B, 0))+0.2*(INDEX(Cooper_pop_2030_2050!E:E, MATCH(About!$B$1, Cooper_pop_2030_2050!B:B, 0))-INDEX(Cooper_pop_2030_2050!D:D, MATCH(About!$B$1, Cooper_pop_2030_2050!B:B, 0)))</f>
        <v>1426460.7550643065</v>
      </c>
      <c r="K13" s="37">
        <f>INDEX(Cooper_pop_2030_2050!D:D, MATCH(About!$B$1, Cooper_pop_2030_2050!B:B, 0))+0.3*(INDEX(Cooper_pop_2030_2050!E:E, MATCH(About!$B$1, Cooper_pop_2030_2050!B:B, 0))-INDEX(Cooper_pop_2030_2050!D:D, MATCH(About!$B$1, Cooper_pop_2030_2050!B:B, 0)))</f>
        <v>1427321.515488588</v>
      </c>
      <c r="L13" s="37">
        <f>INDEX(Cooper_pop_2030_2050!D:D, MATCH(About!$B$1, Cooper_pop_2030_2050!B:B, 0))+0.4*(INDEX(Cooper_pop_2030_2050!E:E, MATCH(About!$B$1, Cooper_pop_2030_2050!B:B, 0))-INDEX(Cooper_pop_2030_2050!D:D, MATCH(About!$B$1, Cooper_pop_2030_2050!B:B, 0)))</f>
        <v>1428182.2759128693</v>
      </c>
      <c r="M13" s="37">
        <f>INDEX(Cooper_pop_2030_2050!D:D, MATCH(About!$B$1, Cooper_pop_2030_2050!B:B, 0))+0.5*(INDEX(Cooper_pop_2030_2050!E:E, MATCH(About!$B$1, Cooper_pop_2030_2050!B:B, 0))-INDEX(Cooper_pop_2030_2050!D:D, MATCH(About!$B$1, Cooper_pop_2030_2050!B:B, 0)))</f>
        <v>1429043.0363371505</v>
      </c>
      <c r="N13" s="37">
        <f>INDEX(Cooper_pop_2030_2050!D:D, MATCH(About!$B$1, Cooper_pop_2030_2050!B:B, 0))+0.6*(INDEX(Cooper_pop_2030_2050!E:E, MATCH(About!$B$1, Cooper_pop_2030_2050!B:B, 0))-INDEX(Cooper_pop_2030_2050!D:D, MATCH(About!$B$1, Cooper_pop_2030_2050!B:B, 0)))</f>
        <v>1429903.7967614317</v>
      </c>
      <c r="O13" s="37">
        <f>INDEX(Cooper_pop_2030_2050!D:D, MATCH(About!$B$1, Cooper_pop_2030_2050!B:B, 0))+0.7*(INDEX(Cooper_pop_2030_2050!E:E, MATCH(About!$B$1, Cooper_pop_2030_2050!B:B, 0))-INDEX(Cooper_pop_2030_2050!D:D, MATCH(About!$B$1, Cooper_pop_2030_2050!B:B, 0)))</f>
        <v>1430764.557185713</v>
      </c>
      <c r="P13" s="37">
        <f>INDEX(Cooper_pop_2030_2050!D:D, MATCH(About!$B$1, Cooper_pop_2030_2050!B:B, 0))+0.8*(INDEX(Cooper_pop_2030_2050!E:E, MATCH(About!$B$1, Cooper_pop_2030_2050!B:B, 0))-INDEX(Cooper_pop_2030_2050!D:D, MATCH(About!$B$1, Cooper_pop_2030_2050!B:B, 0)))</f>
        <v>1431625.3176099944</v>
      </c>
      <c r="Q13" s="37">
        <f>INDEX(Cooper_pop_2030_2050!D:D, MATCH(About!$B$1, Cooper_pop_2030_2050!B:B, 0))+0.9*(INDEX(Cooper_pop_2030_2050!E:E, MATCH(About!$B$1, Cooper_pop_2030_2050!B:B, 0))-INDEX(Cooper_pop_2030_2050!D:D, MATCH(About!$B$1, Cooper_pop_2030_2050!B:B, 0)))</f>
        <v>1432486.0780342757</v>
      </c>
      <c r="R13" s="37">
        <f>INDEX(Cooper_pop_2030_2050!E:E, MATCH(About!$B$1, Cooper_pop_2030_2050!B:B, 0))</f>
        <v>1433346.8384585569</v>
      </c>
      <c r="S13" s="37">
        <f>INDEX(Cooper_pop_2030_2050!E:E, MATCH(About!$B$1, Cooper_pop_2030_2050!B:B, 0))+0.1*(INDEX(Cooper_pop_2030_2050!F:F, MATCH(About!$B$1, Cooper_pop_2030_2050!B:B, 0))-INDEX(Cooper_pop_2030_2050!E:E, MATCH(About!$B$1, Cooper_pop_2030_2050!B:B, 0)))</f>
        <v>1432523.0708691825</v>
      </c>
      <c r="T13" s="37">
        <f>INDEX(Cooper_pop_2030_2050!E:E, MATCH(About!$B$1, Cooper_pop_2030_2050!B:B, 0))+0.2*(INDEX(Cooper_pop_2030_2050!F:F, MATCH(About!$B$1, Cooper_pop_2030_2050!B:B, 0))-INDEX(Cooper_pop_2030_2050!E:E, MATCH(About!$B$1, Cooper_pop_2030_2050!B:B, 0)))</f>
        <v>1431699.303279808</v>
      </c>
      <c r="U13" s="37">
        <f>INDEX(Cooper_pop_2030_2050!E:E, MATCH(About!$B$1, Cooper_pop_2030_2050!B:B, 0))+0.3*(INDEX(Cooper_pop_2030_2050!F:F, MATCH(About!$B$1, Cooper_pop_2030_2050!B:B, 0))-INDEX(Cooper_pop_2030_2050!E:E, MATCH(About!$B$1, Cooper_pop_2030_2050!B:B, 0)))</f>
        <v>1430875.5356904333</v>
      </c>
      <c r="V13" s="37">
        <f>INDEX(Cooper_pop_2030_2050!E:E, MATCH(About!$B$1, Cooper_pop_2030_2050!B:B, 0))+0.4*(INDEX(Cooper_pop_2030_2050!F:F, MATCH(About!$B$1, Cooper_pop_2030_2050!B:B, 0))-INDEX(Cooper_pop_2030_2050!E:E, MATCH(About!$B$1, Cooper_pop_2030_2050!B:B, 0)))</f>
        <v>1430051.7681010589</v>
      </c>
      <c r="W13" s="37">
        <f>INDEX(Cooper_pop_2030_2050!E:E, MATCH(About!$B$1, Cooper_pop_2030_2050!B:B, 0))+0.5*(INDEX(Cooper_pop_2030_2050!F:F, MATCH(About!$B$1, Cooper_pop_2030_2050!B:B, 0))-INDEX(Cooper_pop_2030_2050!E:E, MATCH(About!$B$1, Cooper_pop_2030_2050!B:B, 0)))</f>
        <v>1429228.0005116845</v>
      </c>
      <c r="X13" s="37">
        <f>INDEX(Cooper_pop_2030_2050!E:E, MATCH(About!$B$1, Cooper_pop_2030_2050!B:B, 0))+0.6*(INDEX(Cooper_pop_2030_2050!F:F, MATCH(About!$B$1, Cooper_pop_2030_2050!B:B, 0))-INDEX(Cooper_pop_2030_2050!E:E, MATCH(About!$B$1, Cooper_pop_2030_2050!B:B, 0)))</f>
        <v>1428404.23292231</v>
      </c>
      <c r="Y13" s="37">
        <f>INDEX(Cooper_pop_2030_2050!E:E, MATCH(About!$B$1, Cooper_pop_2030_2050!B:B, 0))+0.7*(INDEX(Cooper_pop_2030_2050!F:F, MATCH(About!$B$1, Cooper_pop_2030_2050!B:B, 0))-INDEX(Cooper_pop_2030_2050!E:E, MATCH(About!$B$1, Cooper_pop_2030_2050!B:B, 0)))</f>
        <v>1427580.4653329356</v>
      </c>
      <c r="Z13" s="37">
        <f>INDEX(Cooper_pop_2030_2050!E:E, MATCH(About!$B$1, Cooper_pop_2030_2050!B:B, 0))+0.8*(INDEX(Cooper_pop_2030_2050!F:F, MATCH(About!$B$1, Cooper_pop_2030_2050!B:B, 0))-INDEX(Cooper_pop_2030_2050!E:E, MATCH(About!$B$1, Cooper_pop_2030_2050!B:B, 0)))</f>
        <v>1426756.6977435609</v>
      </c>
      <c r="AA13" s="37">
        <f>INDEX(Cooper_pop_2030_2050!E:E, MATCH(About!$B$1, Cooper_pop_2030_2050!B:B, 0))+0.9*(INDEX(Cooper_pop_2030_2050!F:F, MATCH(About!$B$1, Cooper_pop_2030_2050!B:B, 0))-INDEX(Cooper_pop_2030_2050!E:E, MATCH(About!$B$1, Cooper_pop_2030_2050!B:B, 0)))</f>
        <v>1425932.9301541864</v>
      </c>
      <c r="AB13" s="37">
        <f>INDEX(Cooper_pop_2030_2050!F:F, MATCH(About!$B$1, Cooper_pop_2030_2050!B:B, 0))</f>
        <v>1425109.162564812</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4.1860108319321096E-3</v>
      </c>
      <c r="C15" s="39">
        <f t="shared" si="1"/>
        <v>4.1872009476325222E-3</v>
      </c>
      <c r="D15" s="39">
        <f t="shared" si="1"/>
        <v>4.1742768583255731E-3</v>
      </c>
      <c r="E15" s="39">
        <f t="shared" si="1"/>
        <v>4.1619462983867603E-3</v>
      </c>
      <c r="F15" s="39">
        <f t="shared" si="1"/>
        <v>4.1502439243361758E-3</v>
      </c>
      <c r="G15" s="39">
        <f t="shared" si="1"/>
        <v>4.1391828239433007E-3</v>
      </c>
      <c r="H15" s="39">
        <f t="shared" si="1"/>
        <v>4.1287985482624384E-3</v>
      </c>
      <c r="I15" s="39">
        <f t="shared" si="1"/>
        <v>4.1161951381868886E-3</v>
      </c>
      <c r="J15" s="39">
        <f t="shared" si="1"/>
        <v>4.1043903748695845E-3</v>
      </c>
      <c r="K15" s="39">
        <f t="shared" si="1"/>
        <v>4.0932437583335183E-3</v>
      </c>
      <c r="L15" s="39">
        <f t="shared" si="1"/>
        <v>4.0827645940881025E-3</v>
      </c>
      <c r="M15" s="39">
        <f t="shared" si="1"/>
        <v>4.072959645581983E-3</v>
      </c>
      <c r="N15" s="39">
        <f t="shared" si="1"/>
        <v>4.0638320937416454E-3</v>
      </c>
      <c r="O15" s="39">
        <f t="shared" si="1"/>
        <v>4.0553855846629325E-3</v>
      </c>
      <c r="P15" s="39">
        <f t="shared" si="1"/>
        <v>4.0476189641211E-3</v>
      </c>
      <c r="Q15" s="39">
        <f t="shared" si="1"/>
        <v>4.0405231489328928E-3</v>
      </c>
      <c r="R15" s="39">
        <f t="shared" si="1"/>
        <v>4.0340846653062765E-3</v>
      </c>
      <c r="S15" s="39">
        <f t="shared" si="1"/>
        <v>4.0235621025999299E-3</v>
      </c>
      <c r="T15" s="39">
        <f t="shared" si="1"/>
        <v>4.0136739247603782E-3</v>
      </c>
      <c r="U15" s="39">
        <f t="shared" si="1"/>
        <v>4.0043822546241715E-3</v>
      </c>
      <c r="V15" s="39">
        <f t="shared" si="1"/>
        <v>3.9956362305439853E-3</v>
      </c>
      <c r="W15" s="39">
        <f t="shared" si="1"/>
        <v>3.987378872136643E-3</v>
      </c>
      <c r="X15" s="39">
        <f t="shared" si="1"/>
        <v>3.9795520083093765E-3</v>
      </c>
      <c r="Y15" s="39">
        <f t="shared" si="1"/>
        <v>3.9721179031569753E-3</v>
      </c>
      <c r="Z15" s="39">
        <f t="shared" si="1"/>
        <v>3.9650219473698085E-3</v>
      </c>
      <c r="AA15" s="39">
        <f t="shared" si="1"/>
        <v>3.9582090567599577E-3</v>
      </c>
      <c r="AB15" s="39">
        <f t="shared" si="1"/>
        <v>3.9516253475002823E-3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39.666833848490448</v>
      </c>
      <c r="C48" s="37">
        <f t="shared" si="10"/>
        <v>39.37876536531904</v>
      </c>
      <c r="D48" s="37">
        <f t="shared" si="10"/>
        <v>38.954594794127587</v>
      </c>
      <c r="E48" s="37">
        <f t="shared" si="10"/>
        <v>38.537793976223284</v>
      </c>
      <c r="F48" s="37">
        <f t="shared" si="10"/>
        <v>38.12019435590895</v>
      </c>
      <c r="G48" s="37">
        <f t="shared" si="10"/>
        <v>37.701845421830427</v>
      </c>
      <c r="H48" s="37">
        <f t="shared" si="10"/>
        <v>37.282987803811636</v>
      </c>
      <c r="I48" s="37">
        <f t="shared" si="10"/>
        <v>36.858330804626732</v>
      </c>
      <c r="J48" s="37">
        <f t="shared" si="10"/>
        <v>36.413739213994234</v>
      </c>
      <c r="K48" s="37">
        <f t="shared" si="10"/>
        <v>35.981003191994802</v>
      </c>
      <c r="L48" s="37">
        <f t="shared" si="10"/>
        <v>35.531232195626949</v>
      </c>
      <c r="M48" s="37">
        <f t="shared" si="10"/>
        <v>35.093206748578112</v>
      </c>
      <c r="N48" s="37">
        <f t="shared" si="10"/>
        <v>34.670841138172456</v>
      </c>
      <c r="O48" s="37">
        <f t="shared" si="10"/>
        <v>34.206771326130166</v>
      </c>
      <c r="P48" s="37">
        <f t="shared" si="10"/>
        <v>33.762230309632685</v>
      </c>
      <c r="Q48" s="37">
        <f t="shared" si="10"/>
        <v>33.300265711242297</v>
      </c>
      <c r="R48" s="37">
        <f t="shared" si="10"/>
        <v>32.841005748087284</v>
      </c>
      <c r="S48" s="37">
        <f t="shared" si="10"/>
        <v>32.338051492215591</v>
      </c>
      <c r="T48" s="37">
        <f t="shared" si="10"/>
        <v>31.842312732111193</v>
      </c>
      <c r="U48" s="37">
        <f t="shared" si="10"/>
        <v>31.353295519406768</v>
      </c>
      <c r="V48" s="37">
        <f t="shared" si="10"/>
        <v>30.87042130042348</v>
      </c>
      <c r="W48" s="37">
        <f t="shared" si="10"/>
        <v>30.397100921044991</v>
      </c>
      <c r="X48" s="37">
        <f t="shared" si="10"/>
        <v>29.960770735457352</v>
      </c>
      <c r="Y48" s="37">
        <f t="shared" si="10"/>
        <v>29.528841950193613</v>
      </c>
      <c r="Z48" s="37">
        <f t="shared" si="10"/>
        <v>29.12076437956928</v>
      </c>
      <c r="AA48" s="37">
        <f t="shared" si="10"/>
        <v>28.71999776750604</v>
      </c>
      <c r="AB48" s="37">
        <f t="shared" si="10"/>
        <v>28.322081099976845</v>
      </c>
    </row>
    <row r="49" spans="1:28" x14ac:dyDescent="0.25">
      <c r="A49" s="4" t="s">
        <v>216</v>
      </c>
      <c r="B49" s="37">
        <f t="shared" ref="B49:AB49" si="11">B29*B15*$F$5</f>
        <v>31.198367052598719</v>
      </c>
      <c r="C49" s="37">
        <f t="shared" si="11"/>
        <v>31.036728368670861</v>
      </c>
      <c r="D49" s="37">
        <f t="shared" si="11"/>
        <v>30.770948992975487</v>
      </c>
      <c r="E49" s="37">
        <f t="shared" si="11"/>
        <v>30.50643959740767</v>
      </c>
      <c r="F49" s="37">
        <f t="shared" si="11"/>
        <v>30.239293151686724</v>
      </c>
      <c r="G49" s="37">
        <f t="shared" si="11"/>
        <v>29.977813907581918</v>
      </c>
      <c r="H49" s="37">
        <f t="shared" si="11"/>
        <v>29.718072973812344</v>
      </c>
      <c r="I49" s="37">
        <f t="shared" si="11"/>
        <v>29.422945556442347</v>
      </c>
      <c r="J49" s="37">
        <f t="shared" si="11"/>
        <v>29.146968553065239</v>
      </c>
      <c r="K49" s="37">
        <f t="shared" si="11"/>
        <v>28.852344136482245</v>
      </c>
      <c r="L49" s="37">
        <f t="shared" si="11"/>
        <v>28.571672857454402</v>
      </c>
      <c r="M49" s="37">
        <f t="shared" si="11"/>
        <v>28.272475588632524</v>
      </c>
      <c r="N49" s="37">
        <f t="shared" si="11"/>
        <v>27.958871210142707</v>
      </c>
      <c r="O49" s="37">
        <f t="shared" si="11"/>
        <v>27.671173680729609</v>
      </c>
      <c r="P49" s="37">
        <f t="shared" si="11"/>
        <v>27.348831978634241</v>
      </c>
      <c r="Q49" s="37">
        <f t="shared" si="11"/>
        <v>27.040037902428036</v>
      </c>
      <c r="R49" s="37">
        <f t="shared" si="11"/>
        <v>26.716483223949236</v>
      </c>
      <c r="S49" s="37">
        <f t="shared" si="11"/>
        <v>26.367060170008223</v>
      </c>
      <c r="T49" s="37">
        <f t="shared" si="11"/>
        <v>26.015240588372894</v>
      </c>
      <c r="U49" s="37">
        <f t="shared" si="11"/>
        <v>25.668658927378242</v>
      </c>
      <c r="V49" s="37">
        <f t="shared" si="11"/>
        <v>25.334801791678444</v>
      </c>
      <c r="W49" s="37">
        <f t="shared" si="11"/>
        <v>25.009185529487198</v>
      </c>
      <c r="X49" s="37">
        <f t="shared" si="11"/>
        <v>24.683419127149087</v>
      </c>
      <c r="Y49" s="37">
        <f t="shared" si="11"/>
        <v>24.376930345313387</v>
      </c>
      <c r="Z49" s="37">
        <f t="shared" si="11"/>
        <v>24.06953117929956</v>
      </c>
      <c r="AA49" s="37">
        <f t="shared" si="11"/>
        <v>23.776569844349687</v>
      </c>
      <c r="AB49" s="37">
        <f t="shared" si="11"/>
        <v>23.509385368238028</v>
      </c>
    </row>
    <row r="50" spans="1:28" x14ac:dyDescent="0.25">
      <c r="A50" s="4" t="s">
        <v>217</v>
      </c>
      <c r="B50" s="37">
        <f t="shared" ref="B50:AB50" si="12">B30*B15*$F$6</f>
        <v>50.674360877470527</v>
      </c>
      <c r="C50" s="37">
        <f t="shared" si="12"/>
        <v>50.354545037611537</v>
      </c>
      <c r="D50" s="37">
        <f t="shared" si="12"/>
        <v>49.871056869257288</v>
      </c>
      <c r="E50" s="37">
        <f t="shared" si="12"/>
        <v>49.38642279339421</v>
      </c>
      <c r="F50" s="37">
        <f t="shared" si="12"/>
        <v>48.906094203448383</v>
      </c>
      <c r="G50" s="37">
        <f t="shared" si="12"/>
        <v>48.435195214402498</v>
      </c>
      <c r="H50" s="37">
        <f t="shared" si="12"/>
        <v>47.953699928485698</v>
      </c>
      <c r="I50" s="37">
        <f t="shared" si="12"/>
        <v>47.453489580387178</v>
      </c>
      <c r="J50" s="37">
        <f t="shared" si="12"/>
        <v>46.939383548328067</v>
      </c>
      <c r="K50" s="37">
        <f t="shared" si="12"/>
        <v>46.414812113059</v>
      </c>
      <c r="L50" s="37">
        <f t="shared" si="12"/>
        <v>45.874838913243309</v>
      </c>
      <c r="M50" s="37">
        <f t="shared" si="12"/>
        <v>45.319525684348008</v>
      </c>
      <c r="N50" s="37">
        <f t="shared" si="12"/>
        <v>44.748867001051117</v>
      </c>
      <c r="O50" s="37">
        <f t="shared" si="12"/>
        <v>44.147896052343206</v>
      </c>
      <c r="P50" s="37">
        <f t="shared" si="12"/>
        <v>43.536475389153203</v>
      </c>
      <c r="Q50" s="37">
        <f t="shared" si="12"/>
        <v>42.90939571753222</v>
      </c>
      <c r="R50" s="37">
        <f t="shared" si="12"/>
        <v>42.266372264587432</v>
      </c>
      <c r="S50" s="37">
        <f t="shared" si="12"/>
        <v>41.568151875066988</v>
      </c>
      <c r="T50" s="37">
        <f t="shared" si="12"/>
        <v>40.87946809848399</v>
      </c>
      <c r="U50" s="37">
        <f t="shared" si="12"/>
        <v>40.199662576855005</v>
      </c>
      <c r="V50" s="37">
        <f t="shared" si="12"/>
        <v>39.532877289570166</v>
      </c>
      <c r="W50" s="37">
        <f t="shared" si="12"/>
        <v>38.888080258446863</v>
      </c>
      <c r="X50" s="37">
        <f t="shared" si="12"/>
        <v>38.2693007628814</v>
      </c>
      <c r="Y50" s="37">
        <f t="shared" si="12"/>
        <v>37.666133959290313</v>
      </c>
      <c r="Z50" s="37">
        <f t="shared" si="12"/>
        <v>37.082725749041366</v>
      </c>
      <c r="AA50" s="37">
        <f t="shared" si="12"/>
        <v>36.528078831238304</v>
      </c>
      <c r="AB50" s="37">
        <f t="shared" si="12"/>
        <v>35.991766268185138</v>
      </c>
    </row>
    <row r="51" spans="1:28" x14ac:dyDescent="0.25">
      <c r="A51" s="4" t="s">
        <v>218</v>
      </c>
      <c r="B51" s="37">
        <f t="shared" ref="B51:AB51" si="13">B31*B15*$F$7</f>
        <v>3.0811213802512345</v>
      </c>
      <c r="C51" s="37">
        <f t="shared" si="13"/>
        <v>3.0404912034435374</v>
      </c>
      <c r="D51" s="37">
        <f t="shared" si="13"/>
        <v>2.9903852565509008</v>
      </c>
      <c r="E51" s="37">
        <f t="shared" si="13"/>
        <v>2.9396411622064917</v>
      </c>
      <c r="F51" s="37">
        <f t="shared" si="13"/>
        <v>2.8882767492166153</v>
      </c>
      <c r="G51" s="37">
        <f t="shared" si="13"/>
        <v>2.8375950083020962</v>
      </c>
      <c r="H51" s="37">
        <f t="shared" si="13"/>
        <v>2.7856510475824616</v>
      </c>
      <c r="I51" s="37">
        <f t="shared" si="13"/>
        <v>2.7331070892286098</v>
      </c>
      <c r="J51" s="37">
        <f t="shared" si="13"/>
        <v>2.6813545747494296</v>
      </c>
      <c r="K51" s="37">
        <f t="shared" si="13"/>
        <v>2.6302775852725535</v>
      </c>
      <c r="L51" s="37">
        <f t="shared" si="13"/>
        <v>2.581145666918697</v>
      </c>
      <c r="M51" s="37">
        <f t="shared" si="13"/>
        <v>2.5345731936143281</v>
      </c>
      <c r="N51" s="37">
        <f t="shared" si="13"/>
        <v>2.4886099301590558</v>
      </c>
      <c r="O51" s="37">
        <f t="shared" si="13"/>
        <v>2.4451521920627264</v>
      </c>
      <c r="P51" s="37">
        <f t="shared" si="13"/>
        <v>2.4022574472615865</v>
      </c>
      <c r="Q51" s="37">
        <f t="shared" si="13"/>
        <v>2.3611726334407499</v>
      </c>
      <c r="R51" s="37">
        <f t="shared" si="13"/>
        <v>2.3212301954207741</v>
      </c>
      <c r="S51" s="37">
        <f t="shared" si="13"/>
        <v>2.2790898764925678</v>
      </c>
      <c r="T51" s="37">
        <f t="shared" si="13"/>
        <v>2.2381234756987691</v>
      </c>
      <c r="U51" s="37">
        <f t="shared" si="13"/>
        <v>2.1976587002454684</v>
      </c>
      <c r="V51" s="37">
        <f t="shared" si="13"/>
        <v>2.1589096899867459</v>
      </c>
      <c r="W51" s="37">
        <f t="shared" si="13"/>
        <v>2.1199417965905711</v>
      </c>
      <c r="X51" s="37">
        <f t="shared" si="13"/>
        <v>2.0825942838378051</v>
      </c>
      <c r="Y51" s="37">
        <f t="shared" si="13"/>
        <v>2.0474545336029273</v>
      </c>
      <c r="Z51" s="37">
        <f t="shared" si="13"/>
        <v>2.0126033950861122</v>
      </c>
      <c r="AA51" s="37">
        <f t="shared" si="13"/>
        <v>1.9792509559748519</v>
      </c>
      <c r="AB51" s="37">
        <f t="shared" si="13"/>
        <v>1.9461142935451903</v>
      </c>
    </row>
    <row r="52" spans="1:28" x14ac:dyDescent="0.25">
      <c r="A52" s="4" t="s">
        <v>219</v>
      </c>
      <c r="B52" s="37">
        <f t="shared" ref="B52:AB52" si="14">B32*B15*$F$8</f>
        <v>1.7941530198751292</v>
      </c>
      <c r="C52" s="37">
        <f t="shared" si="14"/>
        <v>1.8009162932196199</v>
      </c>
      <c r="D52" s="37">
        <f t="shared" si="14"/>
        <v>1.8015915195011782</v>
      </c>
      <c r="E52" s="37">
        <f t="shared" si="14"/>
        <v>1.8045570159824116</v>
      </c>
      <c r="F52" s="37">
        <f t="shared" si="14"/>
        <v>1.8077470298729379</v>
      </c>
      <c r="G52" s="37">
        <f t="shared" si="14"/>
        <v>1.8111710404933048</v>
      </c>
      <c r="H52" s="37">
        <f t="shared" si="14"/>
        <v>1.8148485053336161</v>
      </c>
      <c r="I52" s="37">
        <f t="shared" si="14"/>
        <v>1.8175047575888028</v>
      </c>
      <c r="J52" s="37">
        <f t="shared" si="14"/>
        <v>1.8204650504094428</v>
      </c>
      <c r="K52" s="37">
        <f t="shared" si="14"/>
        <v>1.8277468010551465</v>
      </c>
      <c r="L52" s="37">
        <f t="shared" si="14"/>
        <v>1.8311971849846307</v>
      </c>
      <c r="M52" s="37">
        <f t="shared" si="14"/>
        <v>1.8349095776058479</v>
      </c>
      <c r="N52" s="37">
        <f t="shared" si="14"/>
        <v>1.8388894457975165</v>
      </c>
      <c r="O52" s="37">
        <f t="shared" si="14"/>
        <v>1.8431424931898639</v>
      </c>
      <c r="P52" s="37">
        <f t="shared" si="14"/>
        <v>1.8456573514130128</v>
      </c>
      <c r="Q52" s="37">
        <f t="shared" si="14"/>
        <v>1.8504672692975532</v>
      </c>
      <c r="R52" s="37">
        <f t="shared" si="14"/>
        <v>1.8515349356898889</v>
      </c>
      <c r="S52" s="37">
        <f t="shared" si="14"/>
        <v>1.8527141688491486</v>
      </c>
      <c r="T52" s="37">
        <f t="shared" si="14"/>
        <v>1.8561530451814723</v>
      </c>
      <c r="U52" s="37">
        <f t="shared" si="14"/>
        <v>1.8558428169135031</v>
      </c>
      <c r="V52" s="37">
        <f t="shared" si="14"/>
        <v>1.8577565442556443</v>
      </c>
      <c r="W52" s="37">
        <f t="shared" si="14"/>
        <v>1.8598720820113681</v>
      </c>
      <c r="X52" s="37">
        <f t="shared" si="14"/>
        <v>1.860183373365355</v>
      </c>
      <c r="Y52" s="37">
        <f t="shared" si="14"/>
        <v>1.8646177106576232</v>
      </c>
      <c r="Z52" s="37">
        <f t="shared" si="14"/>
        <v>1.8652342661705297</v>
      </c>
      <c r="AA52" s="37">
        <f t="shared" si="14"/>
        <v>1.865970134138891</v>
      </c>
      <c r="AB52" s="37">
        <f t="shared" si="14"/>
        <v>1.8668007045827515</v>
      </c>
    </row>
    <row r="53" spans="1:28" x14ac:dyDescent="0.25">
      <c r="A53" s="4" t="s">
        <v>220</v>
      </c>
      <c r="B53" s="37">
        <f t="shared" ref="B53:AB53" si="15">B33*B15*$F$9</f>
        <v>3.1610064256520141</v>
      </c>
      <c r="C53" s="37">
        <f t="shared" si="15"/>
        <v>3.1889833634427149</v>
      </c>
      <c r="D53" s="37">
        <f t="shared" si="15"/>
        <v>3.1999054657730075</v>
      </c>
      <c r="E53" s="37">
        <f t="shared" si="15"/>
        <v>3.2152976806583031</v>
      </c>
      <c r="F53" s="37">
        <f t="shared" si="15"/>
        <v>3.2289671779701354</v>
      </c>
      <c r="G53" s="37">
        <f t="shared" si="15"/>
        <v>3.2388929272044251</v>
      </c>
      <c r="H53" s="37">
        <f t="shared" si="15"/>
        <v>3.25746783171788</v>
      </c>
      <c r="I53" s="37">
        <f t="shared" si="15"/>
        <v>3.2659527856551471</v>
      </c>
      <c r="J53" s="37">
        <f t="shared" si="15"/>
        <v>3.2770038870610243</v>
      </c>
      <c r="K53" s="37">
        <f t="shared" si="15"/>
        <v>3.2823576835004138</v>
      </c>
      <c r="L53" s="37">
        <f t="shared" si="15"/>
        <v>3.2902023918246379</v>
      </c>
      <c r="M53" s="37">
        <f t="shared" si="15"/>
        <v>3.2924313762822646</v>
      </c>
      <c r="N53" s="37">
        <f t="shared" si="15"/>
        <v>3.2992039952649539</v>
      </c>
      <c r="O53" s="37">
        <f t="shared" si="15"/>
        <v>3.3024335810817647</v>
      </c>
      <c r="P53" s="37">
        <f t="shared" si="15"/>
        <v>3.3021494844202892</v>
      </c>
      <c r="Q53" s="37">
        <f t="shared" si="15"/>
        <v>3.2983705156306367</v>
      </c>
      <c r="R53" s="37">
        <f t="shared" si="15"/>
        <v>3.2951214087791207</v>
      </c>
      <c r="S53" s="37">
        <f t="shared" si="15"/>
        <v>3.2865263681377832</v>
      </c>
      <c r="T53" s="37">
        <f t="shared" si="15"/>
        <v>3.2704630271032489</v>
      </c>
      <c r="U53" s="37">
        <f t="shared" si="15"/>
        <v>3.2589078979874211</v>
      </c>
      <c r="V53" s="37">
        <f t="shared" si="15"/>
        <v>3.2438394872999834</v>
      </c>
      <c r="W53" s="37">
        <f t="shared" si="15"/>
        <v>3.2292016312921503</v>
      </c>
      <c r="X53" s="37">
        <f t="shared" si="15"/>
        <v>3.2189037096101023</v>
      </c>
      <c r="Y53" s="37">
        <f t="shared" si="15"/>
        <v>3.2030108159553969</v>
      </c>
      <c r="Z53" s="37">
        <f t="shared" si="15"/>
        <v>3.1933439898233988</v>
      </c>
      <c r="AA53" s="37">
        <f t="shared" si="15"/>
        <v>3.178011891073123</v>
      </c>
      <c r="AB53" s="37">
        <f t="shared" si="15"/>
        <v>3.1687943810517853</v>
      </c>
    </row>
    <row r="54" spans="1:28" x14ac:dyDescent="0.25">
      <c r="A54" s="4" t="s">
        <v>221</v>
      </c>
      <c r="B54" s="37">
        <f t="shared" ref="B54:AB54" si="16">B34*B15*$F$10</f>
        <v>4.1466553636799155</v>
      </c>
      <c r="C54" s="37">
        <f t="shared" si="16"/>
        <v>4.1651124336719327</v>
      </c>
      <c r="D54" s="37">
        <f t="shared" si="16"/>
        <v>4.1716344369157783</v>
      </c>
      <c r="E54" s="37">
        <f t="shared" si="16"/>
        <v>4.1797057269079367</v>
      </c>
      <c r="F54" s="37">
        <f t="shared" si="16"/>
        <v>4.1915011771142598</v>
      </c>
      <c r="G54" s="37">
        <f t="shared" si="16"/>
        <v>4.1995451197285778</v>
      </c>
      <c r="H54" s="37">
        <f t="shared" si="16"/>
        <v>4.2071113812022487</v>
      </c>
      <c r="I54" s="37">
        <f t="shared" si="16"/>
        <v>4.2112540600904191</v>
      </c>
      <c r="J54" s="37">
        <f t="shared" si="16"/>
        <v>4.2139960572172965</v>
      </c>
      <c r="K54" s="37">
        <f t="shared" si="16"/>
        <v>4.2152196033965659</v>
      </c>
      <c r="L54" s="37">
        <f t="shared" si="16"/>
        <v>4.2139047146076276</v>
      </c>
      <c r="M54" s="37">
        <f t="shared" si="16"/>
        <v>4.210087352998154</v>
      </c>
      <c r="N54" s="37">
        <f t="shared" si="16"/>
        <v>4.2037966972768173</v>
      </c>
      <c r="O54" s="37">
        <f t="shared" si="16"/>
        <v>4.195059277484475</v>
      </c>
      <c r="P54" s="37">
        <f t="shared" si="16"/>
        <v>4.180761849000425</v>
      </c>
      <c r="Q54" s="37">
        <f t="shared" si="16"/>
        <v>4.1640541229023684</v>
      </c>
      <c r="R54" s="37">
        <f t="shared" si="16"/>
        <v>4.1418128690114093</v>
      </c>
      <c r="S54" s="37">
        <f t="shared" si="16"/>
        <v>4.115444086862853</v>
      </c>
      <c r="T54" s="37">
        <f t="shared" si="16"/>
        <v>4.0856626111231185</v>
      </c>
      <c r="U54" s="37">
        <f t="shared" si="16"/>
        <v>4.052451386326493</v>
      </c>
      <c r="V54" s="37">
        <f t="shared" si="16"/>
        <v>4.0198993522628639</v>
      </c>
      <c r="W54" s="37">
        <f t="shared" si="16"/>
        <v>3.9827980625837656</v>
      </c>
      <c r="X54" s="37">
        <f t="shared" si="16"/>
        <v>3.9513745761201937</v>
      </c>
      <c r="Y54" s="37">
        <f t="shared" si="16"/>
        <v>3.9194071774831727</v>
      </c>
      <c r="Z54" s="37">
        <f t="shared" si="16"/>
        <v>3.8878633765758353</v>
      </c>
      <c r="AA54" s="37">
        <f t="shared" si="16"/>
        <v>3.8577040497194983</v>
      </c>
      <c r="AB54" s="37">
        <f t="shared" si="16"/>
        <v>3.8298858073954727</v>
      </c>
    </row>
    <row r="55" spans="1:28" x14ac:dyDescent="0.25">
      <c r="A55" s="4" t="s">
        <v>222</v>
      </c>
      <c r="B55" s="37">
        <f t="shared" ref="B55:AB55" si="17">B35*B15*$F$11</f>
        <v>64.574717906779426</v>
      </c>
      <c r="C55" s="37">
        <f t="shared" si="17"/>
        <v>63.960683410717749</v>
      </c>
      <c r="D55" s="37">
        <f t="shared" si="17"/>
        <v>63.118046632740615</v>
      </c>
      <c r="E55" s="37">
        <f t="shared" si="17"/>
        <v>62.278466498911385</v>
      </c>
      <c r="F55" s="37">
        <f t="shared" si="17"/>
        <v>61.417779106320282</v>
      </c>
      <c r="G55" s="37">
        <f t="shared" si="17"/>
        <v>60.580109778207479</v>
      </c>
      <c r="H55" s="37">
        <f t="shared" si="17"/>
        <v>59.746094906063483</v>
      </c>
      <c r="I55" s="37">
        <f t="shared" si="17"/>
        <v>58.878908404589005</v>
      </c>
      <c r="J55" s="37">
        <f t="shared" si="17"/>
        <v>58.017520949268032</v>
      </c>
      <c r="K55" s="37">
        <f t="shared" si="17"/>
        <v>57.154820138677209</v>
      </c>
      <c r="L55" s="37">
        <f t="shared" si="17"/>
        <v>56.300347202744639</v>
      </c>
      <c r="M55" s="37">
        <f t="shared" si="17"/>
        <v>55.449078235352623</v>
      </c>
      <c r="N55" s="37">
        <f t="shared" si="17"/>
        <v>54.61035980901007</v>
      </c>
      <c r="O55" s="37">
        <f t="shared" si="17"/>
        <v>53.764742831226577</v>
      </c>
      <c r="P55" s="37">
        <f t="shared" si="17"/>
        <v>52.926290602864057</v>
      </c>
      <c r="Q55" s="37">
        <f t="shared" si="17"/>
        <v>52.094542882442177</v>
      </c>
      <c r="R55" s="37">
        <f t="shared" si="17"/>
        <v>51.273745412369735</v>
      </c>
      <c r="S55" s="37">
        <f t="shared" si="17"/>
        <v>50.389898253287519</v>
      </c>
      <c r="T55" s="37">
        <f t="shared" si="17"/>
        <v>49.527272725288981</v>
      </c>
      <c r="U55" s="37">
        <f t="shared" si="17"/>
        <v>48.694437732920115</v>
      </c>
      <c r="V55" s="37">
        <f t="shared" si="17"/>
        <v>47.880902069778386</v>
      </c>
      <c r="W55" s="37">
        <f t="shared" si="17"/>
        <v>47.109165237762802</v>
      </c>
      <c r="X55" s="37">
        <f t="shared" si="17"/>
        <v>46.354619518998256</v>
      </c>
      <c r="Y55" s="37">
        <f t="shared" si="17"/>
        <v>45.630621654041711</v>
      </c>
      <c r="Z55" s="37">
        <f t="shared" si="17"/>
        <v>44.931553673473928</v>
      </c>
      <c r="AA55" s="37">
        <f t="shared" si="17"/>
        <v>44.251870829232374</v>
      </c>
      <c r="AB55" s="37">
        <f t="shared" si="17"/>
        <v>43.595439732973048</v>
      </c>
    </row>
    <row r="57" spans="1:28" x14ac:dyDescent="0.25">
      <c r="A57" s="4" t="s">
        <v>327</v>
      </c>
    </row>
    <row r="58" spans="1:28" x14ac:dyDescent="0.25">
      <c r="A58" s="4" t="s">
        <v>215</v>
      </c>
      <c r="B58" s="37">
        <f t="shared" ref="B58:AB58" si="18">B38*B15*$F$4</f>
        <v>6290.1204432885497</v>
      </c>
      <c r="C58" s="37">
        <f t="shared" si="18"/>
        <v>6406.5161591729075</v>
      </c>
      <c r="D58" s="37">
        <f t="shared" si="18"/>
        <v>6500.0499355446309</v>
      </c>
      <c r="E58" s="37">
        <f t="shared" si="18"/>
        <v>6593.3614379327364</v>
      </c>
      <c r="F58" s="37">
        <f t="shared" si="18"/>
        <v>6687.0225963232797</v>
      </c>
      <c r="G58" s="37">
        <f t="shared" si="18"/>
        <v>6781.2349664500498</v>
      </c>
      <c r="H58" s="37">
        <f t="shared" si="18"/>
        <v>6875.5392025581177</v>
      </c>
      <c r="I58" s="37">
        <f t="shared" si="18"/>
        <v>6964.5708085929464</v>
      </c>
      <c r="J58" s="37">
        <f t="shared" si="18"/>
        <v>7052.2308134175983</v>
      </c>
      <c r="K58" s="37">
        <f t="shared" si="18"/>
        <v>7138.4125919207281</v>
      </c>
      <c r="L58" s="37">
        <f t="shared" si="18"/>
        <v>7222.5297243140394</v>
      </c>
      <c r="M58" s="37">
        <f t="shared" si="18"/>
        <v>7304.4805835548641</v>
      </c>
      <c r="N58" s="37">
        <f t="shared" si="18"/>
        <v>7383.5388287147425</v>
      </c>
      <c r="O58" s="37">
        <f t="shared" si="18"/>
        <v>7459.4486134798644</v>
      </c>
      <c r="P58" s="37">
        <f t="shared" si="18"/>
        <v>7531.275994718615</v>
      </c>
      <c r="Q58" s="37">
        <f t="shared" si="18"/>
        <v>7598.8928020886542</v>
      </c>
      <c r="R58" s="37">
        <f t="shared" si="18"/>
        <v>7661.1709431438449</v>
      </c>
      <c r="S58" s="37">
        <f t="shared" si="18"/>
        <v>7709.15325506921</v>
      </c>
      <c r="T58" s="37">
        <f t="shared" si="18"/>
        <v>7751.3985581132983</v>
      </c>
      <c r="U58" s="37">
        <f t="shared" si="18"/>
        <v>7788.3465009984193</v>
      </c>
      <c r="V58" s="37">
        <f t="shared" si="18"/>
        <v>7818.146420935087</v>
      </c>
      <c r="W58" s="37">
        <f t="shared" si="18"/>
        <v>7841.279675528308</v>
      </c>
      <c r="X58" s="37">
        <f t="shared" si="18"/>
        <v>7857.3313353415087</v>
      </c>
      <c r="Y58" s="37">
        <f t="shared" si="18"/>
        <v>7869.5543671080868</v>
      </c>
      <c r="Z58" s="37">
        <f t="shared" si="18"/>
        <v>7875.0787252204454</v>
      </c>
      <c r="AA58" s="37">
        <f t="shared" si="18"/>
        <v>7874.3968566748781</v>
      </c>
      <c r="AB58" s="37">
        <f t="shared" si="18"/>
        <v>7868.2266634855459</v>
      </c>
    </row>
    <row r="59" spans="1:28" x14ac:dyDescent="0.25">
      <c r="A59" s="4" t="s">
        <v>216</v>
      </c>
      <c r="B59" s="37">
        <f t="shared" ref="B59:AB59" si="19">B39*B15*$F$5</f>
        <v>5830.2281034736307</v>
      </c>
      <c r="C59" s="37">
        <f t="shared" si="19"/>
        <v>5922.7335098099156</v>
      </c>
      <c r="D59" s="37">
        <f t="shared" si="19"/>
        <v>5994.5722377988759</v>
      </c>
      <c r="E59" s="37">
        <f t="shared" si="19"/>
        <v>6069.3636331657108</v>
      </c>
      <c r="F59" s="37">
        <f t="shared" si="19"/>
        <v>6148.807415681511</v>
      </c>
      <c r="G59" s="37">
        <f t="shared" si="19"/>
        <v>6233.206433565435</v>
      </c>
      <c r="H59" s="37">
        <f t="shared" si="19"/>
        <v>6323.1136074971846</v>
      </c>
      <c r="I59" s="37">
        <f t="shared" si="19"/>
        <v>6413.3354278921815</v>
      </c>
      <c r="J59" s="37">
        <f t="shared" si="19"/>
        <v>6508.0166685103732</v>
      </c>
      <c r="K59" s="37">
        <f t="shared" si="19"/>
        <v>6605.4793273985342</v>
      </c>
      <c r="L59" s="37">
        <f t="shared" si="19"/>
        <v>6705.5802226875694</v>
      </c>
      <c r="M59" s="37">
        <f t="shared" si="19"/>
        <v>6807.9061353554716</v>
      </c>
      <c r="N59" s="37">
        <f t="shared" si="19"/>
        <v>6911.003509719133</v>
      </c>
      <c r="O59" s="37">
        <f t="shared" si="19"/>
        <v>7013.4986251063938</v>
      </c>
      <c r="P59" s="37">
        <f t="shared" si="19"/>
        <v>7115.0983387013493</v>
      </c>
      <c r="Q59" s="37">
        <f t="shared" si="19"/>
        <v>7213.8591352240019</v>
      </c>
      <c r="R59" s="37">
        <f t="shared" si="19"/>
        <v>7309.2539843187014</v>
      </c>
      <c r="S59" s="37">
        <f t="shared" si="19"/>
        <v>7391.300785059505</v>
      </c>
      <c r="T59" s="37">
        <f t="shared" si="19"/>
        <v>7467.9845541032446</v>
      </c>
      <c r="U59" s="37">
        <f t="shared" si="19"/>
        <v>7538.6472921702689</v>
      </c>
      <c r="V59" s="37">
        <f t="shared" si="19"/>
        <v>7601.6152087645514</v>
      </c>
      <c r="W59" s="37">
        <f t="shared" si="19"/>
        <v>7655.3928763722861</v>
      </c>
      <c r="X59" s="37">
        <f t="shared" si="19"/>
        <v>7700.4204558207257</v>
      </c>
      <c r="Y59" s="37">
        <f t="shared" si="19"/>
        <v>7740.3085772766553</v>
      </c>
      <c r="Z59" s="37">
        <f t="shared" si="19"/>
        <v>7771.7412972694983</v>
      </c>
      <c r="AA59" s="37">
        <f t="shared" si="19"/>
        <v>7793.5413034713074</v>
      </c>
      <c r="AB59" s="37">
        <f t="shared" si="19"/>
        <v>7805.8616489695451</v>
      </c>
    </row>
    <row r="60" spans="1:28" x14ac:dyDescent="0.25">
      <c r="A60" s="4" t="s">
        <v>217</v>
      </c>
      <c r="B60" s="37">
        <f t="shared" ref="B60:AB60" si="20">B40*B15*$F$6</f>
        <v>12050.227309305303</v>
      </c>
      <c r="C60" s="37">
        <f t="shared" si="20"/>
        <v>12255.333700035679</v>
      </c>
      <c r="D60" s="37">
        <f t="shared" si="20"/>
        <v>12416.175943459639</v>
      </c>
      <c r="E60" s="37">
        <f t="shared" si="20"/>
        <v>12578.598713296058</v>
      </c>
      <c r="F60" s="37">
        <f t="shared" si="20"/>
        <v>12745.179916931533</v>
      </c>
      <c r="G60" s="37">
        <f t="shared" si="20"/>
        <v>12915.967341752277</v>
      </c>
      <c r="H60" s="37">
        <f t="shared" si="20"/>
        <v>13091.431062904066</v>
      </c>
      <c r="I60" s="37">
        <f t="shared" si="20"/>
        <v>13260.839247546737</v>
      </c>
      <c r="J60" s="37">
        <f t="shared" si="20"/>
        <v>13432.36512057742</v>
      </c>
      <c r="K60" s="37">
        <f t="shared" si="20"/>
        <v>13603.646609457279</v>
      </c>
      <c r="L60" s="37">
        <f t="shared" si="20"/>
        <v>13773.988067889864</v>
      </c>
      <c r="M60" s="37">
        <f t="shared" si="20"/>
        <v>13942.883933155315</v>
      </c>
      <c r="N60" s="37">
        <f t="shared" si="20"/>
        <v>14107.84010963583</v>
      </c>
      <c r="O60" s="37">
        <f t="shared" si="20"/>
        <v>14267.499419229836</v>
      </c>
      <c r="P60" s="37">
        <f t="shared" si="20"/>
        <v>14420.071950049996</v>
      </c>
      <c r="Q60" s="37">
        <f t="shared" si="20"/>
        <v>14563.671193871802</v>
      </c>
      <c r="R60" s="37">
        <f t="shared" si="20"/>
        <v>14696.491225847176</v>
      </c>
      <c r="S60" s="37">
        <f t="shared" si="20"/>
        <v>14799.946929022646</v>
      </c>
      <c r="T60" s="37">
        <f t="shared" si="20"/>
        <v>14890.383220873608</v>
      </c>
      <c r="U60" s="37">
        <f t="shared" si="20"/>
        <v>14967.826805203127</v>
      </c>
      <c r="V60" s="37">
        <f t="shared" si="20"/>
        <v>15028.337189926433</v>
      </c>
      <c r="W60" s="37">
        <f t="shared" si="20"/>
        <v>15070.835085533443</v>
      </c>
      <c r="X60" s="37">
        <f t="shared" si="20"/>
        <v>15095.687560739345</v>
      </c>
      <c r="Y60" s="37">
        <f t="shared" si="20"/>
        <v>15110.631539591455</v>
      </c>
      <c r="Z60" s="37">
        <f t="shared" si="20"/>
        <v>15108.917417651925</v>
      </c>
      <c r="AA60" s="37">
        <f t="shared" si="20"/>
        <v>15089.639999679061</v>
      </c>
      <c r="AB60" s="37">
        <f t="shared" si="20"/>
        <v>15054.113078014569</v>
      </c>
    </row>
    <row r="61" spans="1:28" x14ac:dyDescent="0.25">
      <c r="A61" s="4" t="s">
        <v>218</v>
      </c>
      <c r="B61" s="37">
        <f t="shared" ref="B61:AB61" si="21">B41*B15*$F$7</f>
        <v>238.20664447780729</v>
      </c>
      <c r="C61" s="37">
        <f t="shared" si="21"/>
        <v>241.86893404294506</v>
      </c>
      <c r="D61" s="37">
        <f t="shared" si="21"/>
        <v>244.69797775568409</v>
      </c>
      <c r="E61" s="37">
        <f t="shared" si="21"/>
        <v>247.55000469164281</v>
      </c>
      <c r="F61" s="37">
        <f t="shared" si="21"/>
        <v>250.5062567098081</v>
      </c>
      <c r="G61" s="37">
        <f t="shared" si="21"/>
        <v>253.57366400675451</v>
      </c>
      <c r="H61" s="37">
        <f t="shared" si="21"/>
        <v>256.74633701475165</v>
      </c>
      <c r="I61" s="37">
        <f t="shared" si="21"/>
        <v>259.85048033626424</v>
      </c>
      <c r="J61" s="37">
        <f t="shared" si="21"/>
        <v>263.05237899280115</v>
      </c>
      <c r="K61" s="37">
        <f t="shared" si="21"/>
        <v>266.33557088718675</v>
      </c>
      <c r="L61" s="37">
        <f t="shared" si="21"/>
        <v>269.70081438936734</v>
      </c>
      <c r="M61" s="37">
        <f t="shared" si="21"/>
        <v>273.13470745496704</v>
      </c>
      <c r="N61" s="37">
        <f t="shared" si="21"/>
        <v>276.65068370825981</v>
      </c>
      <c r="O61" s="37">
        <f t="shared" si="21"/>
        <v>280.17921876753826</v>
      </c>
      <c r="P61" s="37">
        <f t="shared" si="21"/>
        <v>283.75169461365755</v>
      </c>
      <c r="Q61" s="37">
        <f t="shared" si="21"/>
        <v>287.31096994284087</v>
      </c>
      <c r="R61" s="37">
        <f t="shared" si="21"/>
        <v>290.85071474878134</v>
      </c>
      <c r="S61" s="37">
        <f t="shared" si="21"/>
        <v>294.02728420786991</v>
      </c>
      <c r="T61" s="37">
        <f t="shared" si="21"/>
        <v>297.12162731861855</v>
      </c>
      <c r="U61" s="37">
        <f t="shared" si="21"/>
        <v>300.13855832139683</v>
      </c>
      <c r="V61" s="37">
        <f t="shared" si="21"/>
        <v>303.04327379893743</v>
      </c>
      <c r="W61" s="37">
        <f t="shared" si="21"/>
        <v>305.77980244838477</v>
      </c>
      <c r="X61" s="37">
        <f t="shared" si="21"/>
        <v>308.32789587543868</v>
      </c>
      <c r="Y61" s="37">
        <f t="shared" si="21"/>
        <v>310.76559904474516</v>
      </c>
      <c r="Z61" s="37">
        <f t="shared" si="21"/>
        <v>313.00724202703321</v>
      </c>
      <c r="AA61" s="37">
        <f t="shared" si="21"/>
        <v>315.05029148593661</v>
      </c>
      <c r="AB61" s="37">
        <f t="shared" si="21"/>
        <v>316.86222564744406</v>
      </c>
    </row>
    <row r="62" spans="1:28" x14ac:dyDescent="0.25">
      <c r="A62" s="4" t="s">
        <v>219</v>
      </c>
      <c r="B62" s="37">
        <f t="shared" ref="B62:AB62" si="22">B42*B15*$F$8</f>
        <v>253.91745404279223</v>
      </c>
      <c r="C62" s="37">
        <f t="shared" si="22"/>
        <v>259.96977074414053</v>
      </c>
      <c r="D62" s="37">
        <f t="shared" si="22"/>
        <v>265.30980625936724</v>
      </c>
      <c r="E62" s="37">
        <f t="shared" si="22"/>
        <v>271.03783396995988</v>
      </c>
      <c r="F62" s="37">
        <f t="shared" si="22"/>
        <v>277.23195250810261</v>
      </c>
      <c r="G62" s="37">
        <f t="shared" si="22"/>
        <v>283.8861220420996</v>
      </c>
      <c r="H62" s="37">
        <f t="shared" si="22"/>
        <v>291.01907634847419</v>
      </c>
      <c r="I62" s="37">
        <f t="shared" si="22"/>
        <v>298.42116729478653</v>
      </c>
      <c r="J62" s="37">
        <f t="shared" si="22"/>
        <v>306.14051772519559</v>
      </c>
      <c r="K62" s="37">
        <f t="shared" si="22"/>
        <v>314.11570942815973</v>
      </c>
      <c r="L62" s="37">
        <f t="shared" si="22"/>
        <v>322.42687571311518</v>
      </c>
      <c r="M62" s="37">
        <f t="shared" si="22"/>
        <v>331.01160522690952</v>
      </c>
      <c r="N62" s="37">
        <f t="shared" si="22"/>
        <v>339.8283879679318</v>
      </c>
      <c r="O62" s="37">
        <f t="shared" si="22"/>
        <v>348.81824969419171</v>
      </c>
      <c r="P62" s="37">
        <f t="shared" si="22"/>
        <v>357.9507359561934</v>
      </c>
      <c r="Q62" s="37">
        <f t="shared" si="22"/>
        <v>367.15885413570072</v>
      </c>
      <c r="R62" s="37">
        <f t="shared" si="22"/>
        <v>376.40982300518124</v>
      </c>
      <c r="S62" s="37">
        <f t="shared" si="22"/>
        <v>385.18828890780264</v>
      </c>
      <c r="T62" s="37">
        <f t="shared" si="22"/>
        <v>393.93202012278738</v>
      </c>
      <c r="U62" s="37">
        <f t="shared" si="22"/>
        <v>402.55642696499922</v>
      </c>
      <c r="V62" s="37">
        <f t="shared" si="22"/>
        <v>411.07537768507314</v>
      </c>
      <c r="W62" s="37">
        <f t="shared" si="22"/>
        <v>419.4616946200324</v>
      </c>
      <c r="X62" s="37">
        <f t="shared" si="22"/>
        <v>427.75104868002228</v>
      </c>
      <c r="Y62" s="37">
        <f t="shared" si="22"/>
        <v>435.91519261765393</v>
      </c>
      <c r="Z62" s="37">
        <f t="shared" si="22"/>
        <v>443.96720499894536</v>
      </c>
      <c r="AA62" s="37">
        <f t="shared" si="22"/>
        <v>451.90171110251737</v>
      </c>
      <c r="AB62" s="37">
        <f t="shared" si="22"/>
        <v>459.68541185428415</v>
      </c>
    </row>
    <row r="63" spans="1:28" x14ac:dyDescent="0.25">
      <c r="A63" s="4" t="s">
        <v>220</v>
      </c>
      <c r="B63" s="37">
        <f t="shared" ref="B63:AB63" si="23">B43*B15*$F$9</f>
        <v>139.3778939974745</v>
      </c>
      <c r="C63" s="37">
        <f t="shared" si="23"/>
        <v>142.50027357492257</v>
      </c>
      <c r="D63" s="37">
        <f t="shared" si="23"/>
        <v>145.25411241809712</v>
      </c>
      <c r="E63" s="37">
        <f t="shared" si="23"/>
        <v>148.27636142523269</v>
      </c>
      <c r="F63" s="37">
        <f t="shared" si="23"/>
        <v>151.32170671951476</v>
      </c>
      <c r="G63" s="37">
        <f t="shared" si="23"/>
        <v>154.60617567200984</v>
      </c>
      <c r="H63" s="37">
        <f t="shared" si="23"/>
        <v>157.98924372724005</v>
      </c>
      <c r="I63" s="37">
        <f t="shared" si="23"/>
        <v>161.32578189555616</v>
      </c>
      <c r="J63" s="37">
        <f t="shared" si="23"/>
        <v>164.73427079111812</v>
      </c>
      <c r="K63" s="37">
        <f t="shared" si="23"/>
        <v>168.39187225049673</v>
      </c>
      <c r="L63" s="37">
        <f t="shared" si="23"/>
        <v>172.13648377722049</v>
      </c>
      <c r="M63" s="37">
        <f t="shared" si="23"/>
        <v>176.02047276670646</v>
      </c>
      <c r="N63" s="37">
        <f t="shared" si="23"/>
        <v>179.96632185690683</v>
      </c>
      <c r="O63" s="37">
        <f t="shared" si="23"/>
        <v>183.98811695896097</v>
      </c>
      <c r="P63" s="37">
        <f t="shared" si="23"/>
        <v>188.13392635749642</v>
      </c>
      <c r="Q63" s="37">
        <f t="shared" si="23"/>
        <v>192.3788170579156</v>
      </c>
      <c r="R63" s="37">
        <f t="shared" si="23"/>
        <v>196.68583702548744</v>
      </c>
      <c r="S63" s="37">
        <f t="shared" si="23"/>
        <v>200.76032539788312</v>
      </c>
      <c r="T63" s="37">
        <f t="shared" si="23"/>
        <v>204.88312791587296</v>
      </c>
      <c r="U63" s="37">
        <f t="shared" si="23"/>
        <v>209.00037692960893</v>
      </c>
      <c r="V63" s="37">
        <f t="shared" si="23"/>
        <v>213.05187926759228</v>
      </c>
      <c r="W63" s="37">
        <f t="shared" si="23"/>
        <v>217.16777678256821</v>
      </c>
      <c r="X63" s="37">
        <f t="shared" si="23"/>
        <v>221.24321013672537</v>
      </c>
      <c r="Y63" s="37">
        <f t="shared" si="23"/>
        <v>225.34099905810325</v>
      </c>
      <c r="Z63" s="37">
        <f t="shared" si="23"/>
        <v>229.37440760997706</v>
      </c>
      <c r="AA63" s="37">
        <f t="shared" si="23"/>
        <v>233.37712600839578</v>
      </c>
      <c r="AB63" s="37">
        <f t="shared" si="23"/>
        <v>237.38437311154689</v>
      </c>
    </row>
    <row r="64" spans="1:28" x14ac:dyDescent="0.25">
      <c r="A64" s="4" t="s">
        <v>221</v>
      </c>
      <c r="B64" s="37">
        <f t="shared" ref="B64:AB64" si="24">B44*B15*$F$10</f>
        <v>269.99141887599842</v>
      </c>
      <c r="C64" s="37">
        <f t="shared" si="24"/>
        <v>279.5916761964134</v>
      </c>
      <c r="D64" s="37">
        <f t="shared" si="24"/>
        <v>288.40473567649713</v>
      </c>
      <c r="E64" s="37">
        <f t="shared" si="24"/>
        <v>297.4245964796682</v>
      </c>
      <c r="F64" s="37">
        <f t="shared" si="24"/>
        <v>306.65497848367164</v>
      </c>
      <c r="G64" s="37">
        <f t="shared" si="24"/>
        <v>316.13372901293843</v>
      </c>
      <c r="H64" s="37">
        <f t="shared" si="24"/>
        <v>325.96434905720412</v>
      </c>
      <c r="I64" s="37">
        <f t="shared" si="24"/>
        <v>335.91094018812475</v>
      </c>
      <c r="J64" s="37">
        <f t="shared" si="24"/>
        <v>346.11293011923709</v>
      </c>
      <c r="K64" s="37">
        <f t="shared" si="24"/>
        <v>356.6500156695023</v>
      </c>
      <c r="L64" s="37">
        <f t="shared" si="24"/>
        <v>367.58263569717479</v>
      </c>
      <c r="M64" s="37">
        <f t="shared" si="24"/>
        <v>378.8206768271445</v>
      </c>
      <c r="N64" s="37">
        <f t="shared" si="24"/>
        <v>390.46259749537882</v>
      </c>
      <c r="O64" s="37">
        <f t="shared" si="24"/>
        <v>402.44330070958392</v>
      </c>
      <c r="P64" s="37">
        <f t="shared" si="24"/>
        <v>414.74514593371032</v>
      </c>
      <c r="Q64" s="37">
        <f t="shared" si="24"/>
        <v>427.38659405879173</v>
      </c>
      <c r="R64" s="37">
        <f t="shared" si="24"/>
        <v>440.28167862304224</v>
      </c>
      <c r="S64" s="37">
        <f t="shared" si="24"/>
        <v>452.89808436698581</v>
      </c>
      <c r="T64" s="37">
        <f t="shared" si="24"/>
        <v>465.72827294698141</v>
      </c>
      <c r="U64" s="37">
        <f t="shared" si="24"/>
        <v>478.74074397396203</v>
      </c>
      <c r="V64" s="37">
        <f t="shared" si="24"/>
        <v>491.87142233277802</v>
      </c>
      <c r="W64" s="37">
        <f t="shared" si="24"/>
        <v>505.05231853310158</v>
      </c>
      <c r="X64" s="37">
        <f t="shared" si="24"/>
        <v>518.34439588862313</v>
      </c>
      <c r="Y64" s="37">
        <f t="shared" si="24"/>
        <v>531.64310013590557</v>
      </c>
      <c r="Z64" s="37">
        <f t="shared" si="24"/>
        <v>544.94101014137868</v>
      </c>
      <c r="AA64" s="37">
        <f t="shared" si="24"/>
        <v>558.11555369121231</v>
      </c>
      <c r="AB64" s="37">
        <f t="shared" si="24"/>
        <v>571.15133925610758</v>
      </c>
    </row>
    <row r="65" spans="1:28" x14ac:dyDescent="0.25">
      <c r="A65" s="4" t="s">
        <v>222</v>
      </c>
      <c r="B65" s="37">
        <f t="shared" ref="B65:AB65" si="25">B45*B15*$F$11</f>
        <v>13061.962936810465</v>
      </c>
      <c r="C65" s="37">
        <f t="shared" si="25"/>
        <v>13264.332133787249</v>
      </c>
      <c r="D65" s="37">
        <f t="shared" si="25"/>
        <v>13418.960743352511</v>
      </c>
      <c r="E65" s="37">
        <f t="shared" si="25"/>
        <v>13575.890507877741</v>
      </c>
      <c r="F65" s="37">
        <f t="shared" si="25"/>
        <v>13737.793870049469</v>
      </c>
      <c r="G65" s="37">
        <f t="shared" si="25"/>
        <v>13905.09364492263</v>
      </c>
      <c r="H65" s="37">
        <f t="shared" si="25"/>
        <v>14077.434900674803</v>
      </c>
      <c r="I65" s="37">
        <f t="shared" si="25"/>
        <v>14243.440783271773</v>
      </c>
      <c r="J65" s="37">
        <f t="shared" si="25"/>
        <v>14411.96869017561</v>
      </c>
      <c r="K65" s="37">
        <f t="shared" si="25"/>
        <v>14580.535595093457</v>
      </c>
      <c r="L65" s="37">
        <f t="shared" si="25"/>
        <v>14748.007704229396</v>
      </c>
      <c r="M65" s="37">
        <f t="shared" si="25"/>
        <v>14914.187303561972</v>
      </c>
      <c r="N65" s="37">
        <f t="shared" si="25"/>
        <v>15076.045974170363</v>
      </c>
      <c r="O65" s="37">
        <f t="shared" si="25"/>
        <v>15231.949759661742</v>
      </c>
      <c r="P65" s="37">
        <f t="shared" si="25"/>
        <v>15380.53669802209</v>
      </c>
      <c r="Q65" s="37">
        <f t="shared" si="25"/>
        <v>15519.263247333383</v>
      </c>
      <c r="R65" s="37">
        <f t="shared" si="25"/>
        <v>15646.574677147652</v>
      </c>
      <c r="S65" s="37">
        <f t="shared" si="25"/>
        <v>15742.551469837203</v>
      </c>
      <c r="T65" s="37">
        <f t="shared" si="25"/>
        <v>15824.456161677757</v>
      </c>
      <c r="U65" s="37">
        <f t="shared" si="25"/>
        <v>15892.16636027496</v>
      </c>
      <c r="V65" s="37">
        <f t="shared" si="25"/>
        <v>15941.818108554111</v>
      </c>
      <c r="W65" s="37">
        <f t="shared" si="25"/>
        <v>15972.509969352364</v>
      </c>
      <c r="X65" s="37">
        <f t="shared" si="25"/>
        <v>15983.999714718369</v>
      </c>
      <c r="Y65" s="37">
        <f t="shared" si="25"/>
        <v>15984.867008533904</v>
      </c>
      <c r="Z65" s="37">
        <f t="shared" si="25"/>
        <v>15967.843288012815</v>
      </c>
      <c r="AA65" s="37">
        <f t="shared" si="25"/>
        <v>15932.667751699812</v>
      </c>
      <c r="AB65" s="37">
        <f t="shared" si="25"/>
        <v>15880.433898401154</v>
      </c>
    </row>
    <row r="67" spans="1:28" x14ac:dyDescent="0.25">
      <c r="A67" s="4" t="s">
        <v>328</v>
      </c>
    </row>
    <row r="68" spans="1:28" x14ac:dyDescent="0.25">
      <c r="A68" s="4" t="s">
        <v>329</v>
      </c>
      <c r="B68" s="40">
        <f t="shared" ref="B68:AB68" si="26">B48+B49</f>
        <v>70.865200901089167</v>
      </c>
      <c r="C68" s="40">
        <f t="shared" si="26"/>
        <v>70.415493733989905</v>
      </c>
      <c r="D68" s="40">
        <f t="shared" si="26"/>
        <v>69.725543787103078</v>
      </c>
      <c r="E68" s="40">
        <f t="shared" si="26"/>
        <v>69.044233573630947</v>
      </c>
      <c r="F68" s="40">
        <f t="shared" si="26"/>
        <v>68.359487507595674</v>
      </c>
      <c r="G68" s="40">
        <f t="shared" si="26"/>
        <v>67.679659329412345</v>
      </c>
      <c r="H68" s="40">
        <f t="shared" si="26"/>
        <v>67.001060777623977</v>
      </c>
      <c r="I68" s="40">
        <f t="shared" si="26"/>
        <v>66.281276361069075</v>
      </c>
      <c r="J68" s="40">
        <f t="shared" si="26"/>
        <v>65.560707767059469</v>
      </c>
      <c r="K68" s="40">
        <f t="shared" si="26"/>
        <v>64.833347328477046</v>
      </c>
      <c r="L68" s="40">
        <f t="shared" si="26"/>
        <v>64.102905053081344</v>
      </c>
      <c r="M68" s="40">
        <f t="shared" si="26"/>
        <v>63.365682337210636</v>
      </c>
      <c r="N68" s="40">
        <f t="shared" si="26"/>
        <v>62.629712348315167</v>
      </c>
      <c r="O68" s="40">
        <f t="shared" si="26"/>
        <v>61.877945006859775</v>
      </c>
      <c r="P68" s="40">
        <f t="shared" si="26"/>
        <v>61.111062288266922</v>
      </c>
      <c r="Q68" s="40">
        <f t="shared" si="26"/>
        <v>60.340303613670329</v>
      </c>
      <c r="R68" s="40">
        <f t="shared" si="26"/>
        <v>59.557488972036523</v>
      </c>
      <c r="S68" s="40">
        <f t="shared" si="26"/>
        <v>58.705111662223814</v>
      </c>
      <c r="T68" s="40">
        <f t="shared" si="26"/>
        <v>57.857553320484087</v>
      </c>
      <c r="U68" s="40">
        <f t="shared" si="26"/>
        <v>57.02195444678501</v>
      </c>
      <c r="V68" s="40">
        <f t="shared" si="26"/>
        <v>56.205223092101924</v>
      </c>
      <c r="W68" s="40">
        <f t="shared" si="26"/>
        <v>55.406286450532193</v>
      </c>
      <c r="X68" s="40">
        <f t="shared" si="26"/>
        <v>54.644189862606439</v>
      </c>
      <c r="Y68" s="40">
        <f t="shared" si="26"/>
        <v>53.905772295506999</v>
      </c>
      <c r="Z68" s="40">
        <f t="shared" si="26"/>
        <v>53.19029555886884</v>
      </c>
      <c r="AA68" s="40">
        <f t="shared" si="26"/>
        <v>52.496567611855724</v>
      </c>
      <c r="AB68" s="40">
        <f t="shared" si="26"/>
        <v>51.83146646821487</v>
      </c>
    </row>
    <row r="69" spans="1:28" x14ac:dyDescent="0.25">
      <c r="A69" s="4" t="s">
        <v>330</v>
      </c>
      <c r="B69" s="40">
        <f t="shared" ref="B69:AB69" si="27">B50+B51+B52+B53</f>
        <v>58.710641703248903</v>
      </c>
      <c r="C69" s="40">
        <f t="shared" si="27"/>
        <v>58.384935897717412</v>
      </c>
      <c r="D69" s="40">
        <f t="shared" si="27"/>
        <v>57.862939111082376</v>
      </c>
      <c r="E69" s="40">
        <f t="shared" si="27"/>
        <v>57.345918652241416</v>
      </c>
      <c r="F69" s="40">
        <f t="shared" si="27"/>
        <v>56.831085160508067</v>
      </c>
      <c r="G69" s="40">
        <f t="shared" si="27"/>
        <v>56.322854190402325</v>
      </c>
      <c r="H69" s="40">
        <f t="shared" si="27"/>
        <v>55.811667313119656</v>
      </c>
      <c r="I69" s="40">
        <f t="shared" si="27"/>
        <v>55.270054212859733</v>
      </c>
      <c r="J69" s="40">
        <f t="shared" si="27"/>
        <v>54.718207060547968</v>
      </c>
      <c r="K69" s="40">
        <f t="shared" si="27"/>
        <v>54.155194182887115</v>
      </c>
      <c r="L69" s="40">
        <f t="shared" si="27"/>
        <v>53.57738415697127</v>
      </c>
      <c r="M69" s="40">
        <f t="shared" si="27"/>
        <v>52.981439831850452</v>
      </c>
      <c r="N69" s="40">
        <f t="shared" si="27"/>
        <v>52.375570372272648</v>
      </c>
      <c r="O69" s="40">
        <f t="shared" si="27"/>
        <v>51.738624318677566</v>
      </c>
      <c r="P69" s="40">
        <f t="shared" si="27"/>
        <v>51.086539672248087</v>
      </c>
      <c r="Q69" s="40">
        <f t="shared" si="27"/>
        <v>50.419406135901163</v>
      </c>
      <c r="R69" s="40">
        <f t="shared" si="27"/>
        <v>49.734258804477221</v>
      </c>
      <c r="S69" s="40">
        <f t="shared" si="27"/>
        <v>48.98648228854649</v>
      </c>
      <c r="T69" s="40">
        <f t="shared" si="27"/>
        <v>48.24420764646748</v>
      </c>
      <c r="U69" s="40">
        <f t="shared" si="27"/>
        <v>47.512071992001395</v>
      </c>
      <c r="V69" s="40">
        <f t="shared" si="27"/>
        <v>46.793383011112539</v>
      </c>
      <c r="W69" s="40">
        <f t="shared" si="27"/>
        <v>46.097095768340957</v>
      </c>
      <c r="X69" s="40">
        <f t="shared" si="27"/>
        <v>45.430982129694662</v>
      </c>
      <c r="Y69" s="40">
        <f t="shared" si="27"/>
        <v>44.781217019506258</v>
      </c>
      <c r="Z69" s="40">
        <f t="shared" si="27"/>
        <v>44.153907400121405</v>
      </c>
      <c r="AA69" s="40">
        <f t="shared" si="27"/>
        <v>43.551311812425176</v>
      </c>
      <c r="AB69" s="40">
        <f t="shared" si="27"/>
        <v>42.973475647364864</v>
      </c>
    </row>
    <row r="70" spans="1:28" x14ac:dyDescent="0.25">
      <c r="A70" s="4" t="s">
        <v>331</v>
      </c>
      <c r="B70" s="40">
        <f t="shared" ref="B70:AB70" si="28">B54+B55</f>
        <v>68.721373270459338</v>
      </c>
      <c r="C70" s="40">
        <f t="shared" si="28"/>
        <v>68.125795844389685</v>
      </c>
      <c r="D70" s="40">
        <f t="shared" si="28"/>
        <v>67.289681069656396</v>
      </c>
      <c r="E70" s="40">
        <f t="shared" si="28"/>
        <v>66.458172225819325</v>
      </c>
      <c r="F70" s="40">
        <f t="shared" si="28"/>
        <v>65.609280283434543</v>
      </c>
      <c r="G70" s="40">
        <f t="shared" si="28"/>
        <v>64.779654897936055</v>
      </c>
      <c r="H70" s="40">
        <f t="shared" si="28"/>
        <v>63.953206287265729</v>
      </c>
      <c r="I70" s="40">
        <f t="shared" si="28"/>
        <v>63.090162464679423</v>
      </c>
      <c r="J70" s="40">
        <f t="shared" si="28"/>
        <v>62.231517006485326</v>
      </c>
      <c r="K70" s="40">
        <f t="shared" si="28"/>
        <v>61.370039742073772</v>
      </c>
      <c r="L70" s="40">
        <f t="shared" si="28"/>
        <v>60.514251917352269</v>
      </c>
      <c r="M70" s="40">
        <f t="shared" si="28"/>
        <v>59.659165588350774</v>
      </c>
      <c r="N70" s="40">
        <f t="shared" si="28"/>
        <v>58.814156506286885</v>
      </c>
      <c r="O70" s="40">
        <f t="shared" si="28"/>
        <v>57.959802108711052</v>
      </c>
      <c r="P70" s="40">
        <f t="shared" si="28"/>
        <v>57.107052451864483</v>
      </c>
      <c r="Q70" s="40">
        <f t="shared" si="28"/>
        <v>56.258597005344548</v>
      </c>
      <c r="R70" s="40">
        <f t="shared" si="28"/>
        <v>55.415558281381145</v>
      </c>
      <c r="S70" s="40">
        <f t="shared" si="28"/>
        <v>54.505342340150371</v>
      </c>
      <c r="T70" s="40">
        <f t="shared" si="28"/>
        <v>53.6129353364121</v>
      </c>
      <c r="U70" s="40">
        <f t="shared" si="28"/>
        <v>52.74688911924661</v>
      </c>
      <c r="V70" s="40">
        <f t="shared" si="28"/>
        <v>51.900801422041248</v>
      </c>
      <c r="W70" s="40">
        <f t="shared" si="28"/>
        <v>51.091963300346571</v>
      </c>
      <c r="X70" s="40">
        <f t="shared" si="28"/>
        <v>50.30599409511845</v>
      </c>
      <c r="Y70" s="40">
        <f t="shared" si="28"/>
        <v>49.550028831524884</v>
      </c>
      <c r="Z70" s="40">
        <f t="shared" si="28"/>
        <v>48.819417050049765</v>
      </c>
      <c r="AA70" s="40">
        <f t="shared" si="28"/>
        <v>48.109574878951875</v>
      </c>
      <c r="AB70" s="40">
        <f t="shared" si="28"/>
        <v>47.425325540368519</v>
      </c>
    </row>
    <row r="71" spans="1:28" x14ac:dyDescent="0.25">
      <c r="A71" s="4" t="s">
        <v>332</v>
      </c>
      <c r="B71" s="40">
        <f t="shared" ref="B71:AB71" si="29">B58+B59</f>
        <v>12120.348546762179</v>
      </c>
      <c r="C71" s="40">
        <f t="shared" si="29"/>
        <v>12329.249668982822</v>
      </c>
      <c r="D71" s="40">
        <f t="shared" si="29"/>
        <v>12494.622173343507</v>
      </c>
      <c r="E71" s="40">
        <f t="shared" si="29"/>
        <v>12662.725071098448</v>
      </c>
      <c r="F71" s="40">
        <f t="shared" si="29"/>
        <v>12835.83001200479</v>
      </c>
      <c r="G71" s="40">
        <f t="shared" si="29"/>
        <v>13014.441400015485</v>
      </c>
      <c r="H71" s="40">
        <f t="shared" si="29"/>
        <v>13198.652810055302</v>
      </c>
      <c r="I71" s="40">
        <f t="shared" si="29"/>
        <v>13377.906236485127</v>
      </c>
      <c r="J71" s="40">
        <f t="shared" si="29"/>
        <v>13560.247481927971</v>
      </c>
      <c r="K71" s="40">
        <f t="shared" si="29"/>
        <v>13743.891919319263</v>
      </c>
      <c r="L71" s="40">
        <f t="shared" si="29"/>
        <v>13928.109947001609</v>
      </c>
      <c r="M71" s="40">
        <f t="shared" si="29"/>
        <v>14112.386718910337</v>
      </c>
      <c r="N71" s="40">
        <f t="shared" si="29"/>
        <v>14294.542338433876</v>
      </c>
      <c r="O71" s="40">
        <f t="shared" si="29"/>
        <v>14472.947238586257</v>
      </c>
      <c r="P71" s="40">
        <f t="shared" si="29"/>
        <v>14646.374333419964</v>
      </c>
      <c r="Q71" s="40">
        <f t="shared" si="29"/>
        <v>14812.751937312656</v>
      </c>
      <c r="R71" s="40">
        <f t="shared" si="29"/>
        <v>14970.424927462547</v>
      </c>
      <c r="S71" s="40">
        <f t="shared" si="29"/>
        <v>15100.454040128716</v>
      </c>
      <c r="T71" s="40">
        <f t="shared" si="29"/>
        <v>15219.383112216543</v>
      </c>
      <c r="U71" s="40">
        <f t="shared" si="29"/>
        <v>15326.993793168687</v>
      </c>
      <c r="V71" s="40">
        <f t="shared" si="29"/>
        <v>15419.761629699638</v>
      </c>
      <c r="W71" s="40">
        <f t="shared" si="29"/>
        <v>15496.672551900594</v>
      </c>
      <c r="X71" s="40">
        <f t="shared" si="29"/>
        <v>15557.751791162234</v>
      </c>
      <c r="Y71" s="40">
        <f t="shared" si="29"/>
        <v>15609.862944384742</v>
      </c>
      <c r="Z71" s="40">
        <f t="shared" si="29"/>
        <v>15646.820022489945</v>
      </c>
      <c r="AA71" s="40">
        <f t="shared" si="29"/>
        <v>15667.938160146186</v>
      </c>
      <c r="AB71" s="40">
        <f t="shared" si="29"/>
        <v>15674.088312455091</v>
      </c>
    </row>
    <row r="72" spans="1:28" x14ac:dyDescent="0.25">
      <c r="A72" s="4" t="s">
        <v>333</v>
      </c>
      <c r="B72" s="40">
        <f t="shared" ref="B72:AB72" si="30">B60+B61+B62+B63</f>
        <v>12681.729301823376</v>
      </c>
      <c r="C72" s="40">
        <f t="shared" si="30"/>
        <v>12899.672678397686</v>
      </c>
      <c r="D72" s="40">
        <f t="shared" si="30"/>
        <v>13071.437839892787</v>
      </c>
      <c r="E72" s="40">
        <f t="shared" si="30"/>
        <v>13245.462913382893</v>
      </c>
      <c r="F72" s="40">
        <f t="shared" si="30"/>
        <v>13424.239832868958</v>
      </c>
      <c r="G72" s="40">
        <f t="shared" si="30"/>
        <v>13608.033303473143</v>
      </c>
      <c r="H72" s="40">
        <f t="shared" si="30"/>
        <v>13797.185719994532</v>
      </c>
      <c r="I72" s="40">
        <f t="shared" si="30"/>
        <v>13980.436677073343</v>
      </c>
      <c r="J72" s="40">
        <f t="shared" si="30"/>
        <v>14166.292288086535</v>
      </c>
      <c r="K72" s="40">
        <f t="shared" si="30"/>
        <v>14352.48976202312</v>
      </c>
      <c r="L72" s="40">
        <f t="shared" si="30"/>
        <v>14538.252241769567</v>
      </c>
      <c r="M72" s="40">
        <f t="shared" si="30"/>
        <v>14723.050718603898</v>
      </c>
      <c r="N72" s="40">
        <f t="shared" si="30"/>
        <v>14904.285503168929</v>
      </c>
      <c r="O72" s="40">
        <f t="shared" si="30"/>
        <v>15080.485004650527</v>
      </c>
      <c r="P72" s="40">
        <f t="shared" si="30"/>
        <v>15249.908306977344</v>
      </c>
      <c r="Q72" s="40">
        <f t="shared" si="30"/>
        <v>15410.519835008259</v>
      </c>
      <c r="R72" s="40">
        <f t="shared" si="30"/>
        <v>15560.437600626625</v>
      </c>
      <c r="S72" s="40">
        <f t="shared" si="30"/>
        <v>15679.922827536202</v>
      </c>
      <c r="T72" s="40">
        <f t="shared" si="30"/>
        <v>15786.319996230886</v>
      </c>
      <c r="U72" s="40">
        <f t="shared" si="30"/>
        <v>15879.522167419131</v>
      </c>
      <c r="V72" s="40">
        <f t="shared" si="30"/>
        <v>15955.507720678035</v>
      </c>
      <c r="W72" s="40">
        <f t="shared" si="30"/>
        <v>16013.244359384429</v>
      </c>
      <c r="X72" s="40">
        <f t="shared" si="30"/>
        <v>16053.00971543153</v>
      </c>
      <c r="Y72" s="40">
        <f t="shared" si="30"/>
        <v>16082.65333031196</v>
      </c>
      <c r="Z72" s="40">
        <f t="shared" si="30"/>
        <v>16095.266272287881</v>
      </c>
      <c r="AA72" s="40">
        <f t="shared" si="30"/>
        <v>16089.96912827591</v>
      </c>
      <c r="AB72" s="40">
        <f t="shared" si="30"/>
        <v>16068.045088627843</v>
      </c>
    </row>
    <row r="73" spans="1:28" x14ac:dyDescent="0.25">
      <c r="A73" s="4" t="s">
        <v>334</v>
      </c>
      <c r="B73" s="40">
        <f t="shared" ref="B73:AB73" si="31">B64+B65</f>
        <v>13331.954355686463</v>
      </c>
      <c r="C73" s="40">
        <f t="shared" si="31"/>
        <v>13543.923809983662</v>
      </c>
      <c r="D73" s="40">
        <f t="shared" si="31"/>
        <v>13707.365479029007</v>
      </c>
      <c r="E73" s="40">
        <f t="shared" si="31"/>
        <v>13873.315104357409</v>
      </c>
      <c r="F73" s="40">
        <f t="shared" si="31"/>
        <v>14044.44884853314</v>
      </c>
      <c r="G73" s="40">
        <f t="shared" si="31"/>
        <v>14221.227373935568</v>
      </c>
      <c r="H73" s="40">
        <f t="shared" si="31"/>
        <v>14403.399249732007</v>
      </c>
      <c r="I73" s="40">
        <f t="shared" si="31"/>
        <v>14579.351723459898</v>
      </c>
      <c r="J73" s="40">
        <f t="shared" si="31"/>
        <v>14758.081620294848</v>
      </c>
      <c r="K73" s="40">
        <f t="shared" si="31"/>
        <v>14937.185610762959</v>
      </c>
      <c r="L73" s="40">
        <f t="shared" si="31"/>
        <v>15115.590339926572</v>
      </c>
      <c r="M73" s="40">
        <f t="shared" si="31"/>
        <v>15293.007980389117</v>
      </c>
      <c r="N73" s="40">
        <f t="shared" si="31"/>
        <v>15466.508571665743</v>
      </c>
      <c r="O73" s="40">
        <f t="shared" si="31"/>
        <v>15634.393060371325</v>
      </c>
      <c r="P73" s="40">
        <f t="shared" si="31"/>
        <v>15795.2818439558</v>
      </c>
      <c r="Q73" s="40">
        <f t="shared" si="31"/>
        <v>15946.649841392174</v>
      </c>
      <c r="R73" s="40">
        <f t="shared" si="31"/>
        <v>16086.856355770693</v>
      </c>
      <c r="S73" s="40">
        <f t="shared" si="31"/>
        <v>16195.449554204188</v>
      </c>
      <c r="T73" s="40">
        <f t="shared" si="31"/>
        <v>16290.184434624738</v>
      </c>
      <c r="U73" s="40">
        <f t="shared" si="31"/>
        <v>16370.907104248921</v>
      </c>
      <c r="V73" s="40">
        <f t="shared" si="31"/>
        <v>16433.689530886888</v>
      </c>
      <c r="W73" s="40">
        <f t="shared" si="31"/>
        <v>16477.562287885467</v>
      </c>
      <c r="X73" s="40">
        <f t="shared" si="31"/>
        <v>16502.344110606991</v>
      </c>
      <c r="Y73" s="40">
        <f t="shared" si="31"/>
        <v>16516.510108669809</v>
      </c>
      <c r="Z73" s="40">
        <f t="shared" si="31"/>
        <v>16512.784298154194</v>
      </c>
      <c r="AA73" s="40">
        <f t="shared" si="31"/>
        <v>16490.783305391025</v>
      </c>
      <c r="AB73" s="40">
        <f t="shared" si="31"/>
        <v>16451.585237657262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39.666833848490448</v>
      </c>
      <c r="C2" s="37">
        <f>BDbDT_calcs!C48</f>
        <v>39.37876536531904</v>
      </c>
      <c r="D2" s="37">
        <f>BDbDT_calcs!D48</f>
        <v>38.954594794127587</v>
      </c>
      <c r="E2" s="37">
        <f>BDbDT_calcs!E48</f>
        <v>38.537793976223284</v>
      </c>
      <c r="F2" s="37">
        <f>BDbDT_calcs!F48</f>
        <v>38.12019435590895</v>
      </c>
      <c r="G2" s="37">
        <f>BDbDT_calcs!G48</f>
        <v>37.701845421830427</v>
      </c>
      <c r="H2" s="37">
        <f>BDbDT_calcs!H48</f>
        <v>37.282987803811636</v>
      </c>
      <c r="I2" s="37">
        <f>BDbDT_calcs!I48</f>
        <v>36.858330804626732</v>
      </c>
      <c r="J2" s="37">
        <f>BDbDT_calcs!J48</f>
        <v>36.413739213994234</v>
      </c>
      <c r="K2" s="37">
        <f>BDbDT_calcs!K48</f>
        <v>35.981003191994802</v>
      </c>
      <c r="L2" s="37">
        <f>BDbDT_calcs!L48</f>
        <v>35.531232195626949</v>
      </c>
      <c r="M2" s="37">
        <f>BDbDT_calcs!M48</f>
        <v>35.093206748578112</v>
      </c>
      <c r="N2" s="37">
        <f>BDbDT_calcs!N48</f>
        <v>34.670841138172456</v>
      </c>
      <c r="O2" s="37">
        <f>BDbDT_calcs!O48</f>
        <v>34.206771326130166</v>
      </c>
      <c r="P2" s="37">
        <f>BDbDT_calcs!P48</f>
        <v>33.762230309632685</v>
      </c>
      <c r="Q2" s="37">
        <f>BDbDT_calcs!Q48</f>
        <v>33.300265711242297</v>
      </c>
      <c r="R2" s="37">
        <f>BDbDT_calcs!R48</f>
        <v>32.841005748087284</v>
      </c>
      <c r="S2" s="37">
        <f>BDbDT_calcs!S48</f>
        <v>32.338051492215591</v>
      </c>
      <c r="T2" s="37">
        <f>BDbDT_calcs!T48</f>
        <v>31.842312732111193</v>
      </c>
      <c r="U2" s="37">
        <f>BDbDT_calcs!U48</f>
        <v>31.353295519406768</v>
      </c>
      <c r="V2" s="37">
        <f>BDbDT_calcs!V48</f>
        <v>30.87042130042348</v>
      </c>
      <c r="W2" s="37">
        <f>BDbDT_calcs!W48</f>
        <v>30.397100921044991</v>
      </c>
      <c r="X2" s="37">
        <f>BDbDT_calcs!X48</f>
        <v>29.960770735457352</v>
      </c>
      <c r="Y2" s="37">
        <f>BDbDT_calcs!Y48</f>
        <v>29.528841950193613</v>
      </c>
      <c r="Z2" s="37">
        <f>BDbDT_calcs!Z48</f>
        <v>29.12076437956928</v>
      </c>
      <c r="AA2" s="37">
        <f>BDbDT_calcs!AA48</f>
        <v>28.71999776750604</v>
      </c>
      <c r="AB2" s="37">
        <f>BDbDT_calcs!AB48</f>
        <v>28.322081099976845</v>
      </c>
    </row>
    <row r="3" spans="1:28" x14ac:dyDescent="0.25">
      <c r="A3" s="4" t="s">
        <v>216</v>
      </c>
      <c r="B3" s="37">
        <f>BDbDT_calcs!B49</f>
        <v>31.198367052598719</v>
      </c>
      <c r="C3" s="37">
        <f>BDbDT_calcs!C49</f>
        <v>31.036728368670861</v>
      </c>
      <c r="D3" s="37">
        <f>BDbDT_calcs!D49</f>
        <v>30.770948992975487</v>
      </c>
      <c r="E3" s="37">
        <f>BDbDT_calcs!E49</f>
        <v>30.50643959740767</v>
      </c>
      <c r="F3" s="37">
        <f>BDbDT_calcs!F49</f>
        <v>30.239293151686724</v>
      </c>
      <c r="G3" s="37">
        <f>BDbDT_calcs!G49</f>
        <v>29.977813907581918</v>
      </c>
      <c r="H3" s="37">
        <f>BDbDT_calcs!H49</f>
        <v>29.718072973812344</v>
      </c>
      <c r="I3" s="37">
        <f>BDbDT_calcs!I49</f>
        <v>29.422945556442347</v>
      </c>
      <c r="J3" s="37">
        <f>BDbDT_calcs!J49</f>
        <v>29.146968553065239</v>
      </c>
      <c r="K3" s="37">
        <f>BDbDT_calcs!K49</f>
        <v>28.852344136482245</v>
      </c>
      <c r="L3" s="37">
        <f>BDbDT_calcs!L49</f>
        <v>28.571672857454402</v>
      </c>
      <c r="M3" s="37">
        <f>BDbDT_calcs!M49</f>
        <v>28.272475588632524</v>
      </c>
      <c r="N3" s="37">
        <f>BDbDT_calcs!N49</f>
        <v>27.958871210142707</v>
      </c>
      <c r="O3" s="37">
        <f>BDbDT_calcs!O49</f>
        <v>27.671173680729609</v>
      </c>
      <c r="P3" s="37">
        <f>BDbDT_calcs!P49</f>
        <v>27.348831978634241</v>
      </c>
      <c r="Q3" s="37">
        <f>BDbDT_calcs!Q49</f>
        <v>27.040037902428036</v>
      </c>
      <c r="R3" s="37">
        <f>BDbDT_calcs!R49</f>
        <v>26.716483223949236</v>
      </c>
      <c r="S3" s="37">
        <f>BDbDT_calcs!S49</f>
        <v>26.367060170008223</v>
      </c>
      <c r="T3" s="37">
        <f>BDbDT_calcs!T49</f>
        <v>26.015240588372894</v>
      </c>
      <c r="U3" s="37">
        <f>BDbDT_calcs!U49</f>
        <v>25.668658927378242</v>
      </c>
      <c r="V3" s="37">
        <f>BDbDT_calcs!V49</f>
        <v>25.334801791678444</v>
      </c>
      <c r="W3" s="37">
        <f>BDbDT_calcs!W49</f>
        <v>25.009185529487198</v>
      </c>
      <c r="X3" s="37">
        <f>BDbDT_calcs!X49</f>
        <v>24.683419127149087</v>
      </c>
      <c r="Y3" s="37">
        <f>BDbDT_calcs!Y49</f>
        <v>24.376930345313387</v>
      </c>
      <c r="Z3" s="37">
        <f>BDbDT_calcs!Z49</f>
        <v>24.06953117929956</v>
      </c>
      <c r="AA3" s="37">
        <f>BDbDT_calcs!AA49</f>
        <v>23.776569844349687</v>
      </c>
      <c r="AB3" s="37">
        <f>BDbDT_calcs!AB49</f>
        <v>23.509385368238028</v>
      </c>
    </row>
    <row r="4" spans="1:28" x14ac:dyDescent="0.25">
      <c r="A4" s="4" t="s">
        <v>217</v>
      </c>
      <c r="B4" s="37">
        <f>BDbDT_calcs!B50</f>
        <v>50.674360877470527</v>
      </c>
      <c r="C4" s="37">
        <f>BDbDT_calcs!C50</f>
        <v>50.354545037611537</v>
      </c>
      <c r="D4" s="37">
        <f>BDbDT_calcs!D50</f>
        <v>49.871056869257288</v>
      </c>
      <c r="E4" s="37">
        <f>BDbDT_calcs!E50</f>
        <v>49.38642279339421</v>
      </c>
      <c r="F4" s="37">
        <f>BDbDT_calcs!F50</f>
        <v>48.906094203448383</v>
      </c>
      <c r="G4" s="37">
        <f>BDbDT_calcs!G50</f>
        <v>48.435195214402498</v>
      </c>
      <c r="H4" s="37">
        <f>BDbDT_calcs!H50</f>
        <v>47.953699928485698</v>
      </c>
      <c r="I4" s="37">
        <f>BDbDT_calcs!I50</f>
        <v>47.453489580387178</v>
      </c>
      <c r="J4" s="37">
        <f>BDbDT_calcs!J50</f>
        <v>46.939383548328067</v>
      </c>
      <c r="K4" s="37">
        <f>BDbDT_calcs!K50</f>
        <v>46.414812113059</v>
      </c>
      <c r="L4" s="37">
        <f>BDbDT_calcs!L50</f>
        <v>45.874838913243309</v>
      </c>
      <c r="M4" s="37">
        <f>BDbDT_calcs!M50</f>
        <v>45.319525684348008</v>
      </c>
      <c r="N4" s="37">
        <f>BDbDT_calcs!N50</f>
        <v>44.748867001051117</v>
      </c>
      <c r="O4" s="37">
        <f>BDbDT_calcs!O50</f>
        <v>44.147896052343206</v>
      </c>
      <c r="P4" s="37">
        <f>BDbDT_calcs!P50</f>
        <v>43.536475389153203</v>
      </c>
      <c r="Q4" s="37">
        <f>BDbDT_calcs!Q50</f>
        <v>42.90939571753222</v>
      </c>
      <c r="R4" s="37">
        <f>BDbDT_calcs!R50</f>
        <v>42.266372264587432</v>
      </c>
      <c r="S4" s="37">
        <f>BDbDT_calcs!S50</f>
        <v>41.568151875066988</v>
      </c>
      <c r="T4" s="37">
        <f>BDbDT_calcs!T50</f>
        <v>40.87946809848399</v>
      </c>
      <c r="U4" s="37">
        <f>BDbDT_calcs!U50</f>
        <v>40.199662576855005</v>
      </c>
      <c r="V4" s="37">
        <f>BDbDT_calcs!V50</f>
        <v>39.532877289570166</v>
      </c>
      <c r="W4" s="37">
        <f>BDbDT_calcs!W50</f>
        <v>38.888080258446863</v>
      </c>
      <c r="X4" s="37">
        <f>BDbDT_calcs!X50</f>
        <v>38.2693007628814</v>
      </c>
      <c r="Y4" s="37">
        <f>BDbDT_calcs!Y50</f>
        <v>37.666133959290313</v>
      </c>
      <c r="Z4" s="37">
        <f>BDbDT_calcs!Z50</f>
        <v>37.082725749041366</v>
      </c>
      <c r="AA4" s="37">
        <f>BDbDT_calcs!AA50</f>
        <v>36.528078831238304</v>
      </c>
      <c r="AB4" s="37">
        <f>BDbDT_calcs!AB50</f>
        <v>35.991766268185138</v>
      </c>
    </row>
    <row r="5" spans="1:28" x14ac:dyDescent="0.25">
      <c r="A5" s="4" t="s">
        <v>218</v>
      </c>
      <c r="B5" s="37">
        <f>BDbDT_calcs!B51</f>
        <v>3.0811213802512345</v>
      </c>
      <c r="C5" s="37">
        <f>BDbDT_calcs!C51</f>
        <v>3.0404912034435374</v>
      </c>
      <c r="D5" s="37">
        <f>BDbDT_calcs!D51</f>
        <v>2.9903852565509008</v>
      </c>
      <c r="E5" s="37">
        <f>BDbDT_calcs!E51</f>
        <v>2.9396411622064917</v>
      </c>
      <c r="F5" s="37">
        <f>BDbDT_calcs!F51</f>
        <v>2.8882767492166153</v>
      </c>
      <c r="G5" s="37">
        <f>BDbDT_calcs!G51</f>
        <v>2.8375950083020962</v>
      </c>
      <c r="H5" s="37">
        <f>BDbDT_calcs!H51</f>
        <v>2.7856510475824616</v>
      </c>
      <c r="I5" s="37">
        <f>BDbDT_calcs!I51</f>
        <v>2.7331070892286098</v>
      </c>
      <c r="J5" s="37">
        <f>BDbDT_calcs!J51</f>
        <v>2.6813545747494296</v>
      </c>
      <c r="K5" s="37">
        <f>BDbDT_calcs!K51</f>
        <v>2.6302775852725535</v>
      </c>
      <c r="L5" s="37">
        <f>BDbDT_calcs!L51</f>
        <v>2.581145666918697</v>
      </c>
      <c r="M5" s="37">
        <f>BDbDT_calcs!M51</f>
        <v>2.5345731936143281</v>
      </c>
      <c r="N5" s="37">
        <f>BDbDT_calcs!N51</f>
        <v>2.4886099301590558</v>
      </c>
      <c r="O5" s="37">
        <f>BDbDT_calcs!O51</f>
        <v>2.4451521920627264</v>
      </c>
      <c r="P5" s="37">
        <f>BDbDT_calcs!P51</f>
        <v>2.4022574472615865</v>
      </c>
      <c r="Q5" s="37">
        <f>BDbDT_calcs!Q51</f>
        <v>2.3611726334407499</v>
      </c>
      <c r="R5" s="37">
        <f>BDbDT_calcs!R51</f>
        <v>2.3212301954207741</v>
      </c>
      <c r="S5" s="37">
        <f>BDbDT_calcs!S51</f>
        <v>2.2790898764925678</v>
      </c>
      <c r="T5" s="37">
        <f>BDbDT_calcs!T51</f>
        <v>2.2381234756987691</v>
      </c>
      <c r="U5" s="37">
        <f>BDbDT_calcs!U51</f>
        <v>2.1976587002454684</v>
      </c>
      <c r="V5" s="37">
        <f>BDbDT_calcs!V51</f>
        <v>2.1589096899867459</v>
      </c>
      <c r="W5" s="37">
        <f>BDbDT_calcs!W51</f>
        <v>2.1199417965905711</v>
      </c>
      <c r="X5" s="37">
        <f>BDbDT_calcs!X51</f>
        <v>2.0825942838378051</v>
      </c>
      <c r="Y5" s="37">
        <f>BDbDT_calcs!Y51</f>
        <v>2.0474545336029273</v>
      </c>
      <c r="Z5" s="37">
        <f>BDbDT_calcs!Z51</f>
        <v>2.0126033950861122</v>
      </c>
      <c r="AA5" s="37">
        <f>BDbDT_calcs!AA51</f>
        <v>1.9792509559748519</v>
      </c>
      <c r="AB5" s="37">
        <f>BDbDT_calcs!AB51</f>
        <v>1.9461142935451903</v>
      </c>
    </row>
    <row r="6" spans="1:28" x14ac:dyDescent="0.25">
      <c r="A6" s="4" t="s">
        <v>219</v>
      </c>
      <c r="B6" s="37">
        <f>BDbDT_calcs!B52</f>
        <v>1.7941530198751292</v>
      </c>
      <c r="C6" s="37">
        <f>BDbDT_calcs!C52</f>
        <v>1.8009162932196199</v>
      </c>
      <c r="D6" s="37">
        <f>BDbDT_calcs!D52</f>
        <v>1.8015915195011782</v>
      </c>
      <c r="E6" s="37">
        <f>BDbDT_calcs!E52</f>
        <v>1.8045570159824116</v>
      </c>
      <c r="F6" s="37">
        <f>BDbDT_calcs!F52</f>
        <v>1.8077470298729379</v>
      </c>
      <c r="G6" s="37">
        <f>BDbDT_calcs!G52</f>
        <v>1.8111710404933048</v>
      </c>
      <c r="H6" s="37">
        <f>BDbDT_calcs!H52</f>
        <v>1.8148485053336161</v>
      </c>
      <c r="I6" s="37">
        <f>BDbDT_calcs!I52</f>
        <v>1.8175047575888028</v>
      </c>
      <c r="J6" s="37">
        <f>BDbDT_calcs!J52</f>
        <v>1.8204650504094428</v>
      </c>
      <c r="K6" s="37">
        <f>BDbDT_calcs!K52</f>
        <v>1.8277468010551465</v>
      </c>
      <c r="L6" s="37">
        <f>BDbDT_calcs!L52</f>
        <v>1.8311971849846307</v>
      </c>
      <c r="M6" s="37">
        <f>BDbDT_calcs!M52</f>
        <v>1.8349095776058479</v>
      </c>
      <c r="N6" s="37">
        <f>BDbDT_calcs!N52</f>
        <v>1.8388894457975165</v>
      </c>
      <c r="O6" s="37">
        <f>BDbDT_calcs!O52</f>
        <v>1.8431424931898639</v>
      </c>
      <c r="P6" s="37">
        <f>BDbDT_calcs!P52</f>
        <v>1.8456573514130128</v>
      </c>
      <c r="Q6" s="37">
        <f>BDbDT_calcs!Q52</f>
        <v>1.8504672692975532</v>
      </c>
      <c r="R6" s="37">
        <f>BDbDT_calcs!R52</f>
        <v>1.8515349356898889</v>
      </c>
      <c r="S6" s="37">
        <f>BDbDT_calcs!S52</f>
        <v>1.8527141688491486</v>
      </c>
      <c r="T6" s="37">
        <f>BDbDT_calcs!T52</f>
        <v>1.8561530451814723</v>
      </c>
      <c r="U6" s="37">
        <f>BDbDT_calcs!U52</f>
        <v>1.8558428169135031</v>
      </c>
      <c r="V6" s="37">
        <f>BDbDT_calcs!V52</f>
        <v>1.8577565442556443</v>
      </c>
      <c r="W6" s="37">
        <f>BDbDT_calcs!W52</f>
        <v>1.8598720820113681</v>
      </c>
      <c r="X6" s="37">
        <f>BDbDT_calcs!X52</f>
        <v>1.860183373365355</v>
      </c>
      <c r="Y6" s="37">
        <f>BDbDT_calcs!Y52</f>
        <v>1.8646177106576232</v>
      </c>
      <c r="Z6" s="37">
        <f>BDbDT_calcs!Z52</f>
        <v>1.8652342661705297</v>
      </c>
      <c r="AA6" s="37">
        <f>BDbDT_calcs!AA52</f>
        <v>1.865970134138891</v>
      </c>
      <c r="AB6" s="37">
        <f>BDbDT_calcs!AB52</f>
        <v>1.8668007045827515</v>
      </c>
    </row>
    <row r="7" spans="1:28" x14ac:dyDescent="0.25">
      <c r="A7" s="4" t="s">
        <v>220</v>
      </c>
      <c r="B7" s="37">
        <f>BDbDT_calcs!B53</f>
        <v>3.1610064256520141</v>
      </c>
      <c r="C7" s="37">
        <f>BDbDT_calcs!C53</f>
        <v>3.1889833634427149</v>
      </c>
      <c r="D7" s="37">
        <f>BDbDT_calcs!D53</f>
        <v>3.1999054657730075</v>
      </c>
      <c r="E7" s="37">
        <f>BDbDT_calcs!E53</f>
        <v>3.2152976806583031</v>
      </c>
      <c r="F7" s="37">
        <f>BDbDT_calcs!F53</f>
        <v>3.2289671779701354</v>
      </c>
      <c r="G7" s="37">
        <f>BDbDT_calcs!G53</f>
        <v>3.2388929272044251</v>
      </c>
      <c r="H7" s="37">
        <f>BDbDT_calcs!H53</f>
        <v>3.25746783171788</v>
      </c>
      <c r="I7" s="37">
        <f>BDbDT_calcs!I53</f>
        <v>3.2659527856551471</v>
      </c>
      <c r="J7" s="37">
        <f>BDbDT_calcs!J53</f>
        <v>3.2770038870610243</v>
      </c>
      <c r="K7" s="37">
        <f>BDbDT_calcs!K53</f>
        <v>3.2823576835004138</v>
      </c>
      <c r="L7" s="37">
        <f>BDbDT_calcs!L53</f>
        <v>3.2902023918246379</v>
      </c>
      <c r="M7" s="37">
        <f>BDbDT_calcs!M53</f>
        <v>3.2924313762822646</v>
      </c>
      <c r="N7" s="37">
        <f>BDbDT_calcs!N53</f>
        <v>3.2992039952649539</v>
      </c>
      <c r="O7" s="37">
        <f>BDbDT_calcs!O53</f>
        <v>3.3024335810817647</v>
      </c>
      <c r="P7" s="37">
        <f>BDbDT_calcs!P53</f>
        <v>3.3021494844202892</v>
      </c>
      <c r="Q7" s="37">
        <f>BDbDT_calcs!Q53</f>
        <v>3.2983705156306367</v>
      </c>
      <c r="R7" s="37">
        <f>BDbDT_calcs!R53</f>
        <v>3.2951214087791207</v>
      </c>
      <c r="S7" s="37">
        <f>BDbDT_calcs!S53</f>
        <v>3.2865263681377832</v>
      </c>
      <c r="T7" s="37">
        <f>BDbDT_calcs!T53</f>
        <v>3.2704630271032489</v>
      </c>
      <c r="U7" s="37">
        <f>BDbDT_calcs!U53</f>
        <v>3.2589078979874211</v>
      </c>
      <c r="V7" s="37">
        <f>BDbDT_calcs!V53</f>
        <v>3.2438394872999834</v>
      </c>
      <c r="W7" s="37">
        <f>BDbDT_calcs!W53</f>
        <v>3.2292016312921503</v>
      </c>
      <c r="X7" s="37">
        <f>BDbDT_calcs!X53</f>
        <v>3.2189037096101023</v>
      </c>
      <c r="Y7" s="37">
        <f>BDbDT_calcs!Y53</f>
        <v>3.2030108159553969</v>
      </c>
      <c r="Z7" s="37">
        <f>BDbDT_calcs!Z53</f>
        <v>3.1933439898233988</v>
      </c>
      <c r="AA7" s="37">
        <f>BDbDT_calcs!AA53</f>
        <v>3.178011891073123</v>
      </c>
      <c r="AB7" s="37">
        <f>BDbDT_calcs!AB53</f>
        <v>3.1687943810517853</v>
      </c>
    </row>
    <row r="8" spans="1:28" x14ac:dyDescent="0.25">
      <c r="A8" s="4" t="s">
        <v>221</v>
      </c>
      <c r="B8" s="37">
        <f>BDbDT_calcs!B54</f>
        <v>4.1466553636799155</v>
      </c>
      <c r="C8" s="37">
        <f>BDbDT_calcs!C54</f>
        <v>4.1651124336719327</v>
      </c>
      <c r="D8" s="37">
        <f>BDbDT_calcs!D54</f>
        <v>4.1716344369157783</v>
      </c>
      <c r="E8" s="37">
        <f>BDbDT_calcs!E54</f>
        <v>4.1797057269079367</v>
      </c>
      <c r="F8" s="37">
        <f>BDbDT_calcs!F54</f>
        <v>4.1915011771142598</v>
      </c>
      <c r="G8" s="37">
        <f>BDbDT_calcs!G54</f>
        <v>4.1995451197285778</v>
      </c>
      <c r="H8" s="37">
        <f>BDbDT_calcs!H54</f>
        <v>4.2071113812022487</v>
      </c>
      <c r="I8" s="37">
        <f>BDbDT_calcs!I54</f>
        <v>4.2112540600904191</v>
      </c>
      <c r="J8" s="37">
        <f>BDbDT_calcs!J54</f>
        <v>4.2139960572172965</v>
      </c>
      <c r="K8" s="37">
        <f>BDbDT_calcs!K54</f>
        <v>4.2152196033965659</v>
      </c>
      <c r="L8" s="37">
        <f>BDbDT_calcs!L54</f>
        <v>4.2139047146076276</v>
      </c>
      <c r="M8" s="37">
        <f>BDbDT_calcs!M54</f>
        <v>4.210087352998154</v>
      </c>
      <c r="N8" s="37">
        <f>BDbDT_calcs!N54</f>
        <v>4.2037966972768173</v>
      </c>
      <c r="O8" s="37">
        <f>BDbDT_calcs!O54</f>
        <v>4.195059277484475</v>
      </c>
      <c r="P8" s="37">
        <f>BDbDT_calcs!P54</f>
        <v>4.180761849000425</v>
      </c>
      <c r="Q8" s="37">
        <f>BDbDT_calcs!Q54</f>
        <v>4.1640541229023684</v>
      </c>
      <c r="R8" s="37">
        <f>BDbDT_calcs!R54</f>
        <v>4.1418128690114093</v>
      </c>
      <c r="S8" s="37">
        <f>BDbDT_calcs!S54</f>
        <v>4.115444086862853</v>
      </c>
      <c r="T8" s="37">
        <f>BDbDT_calcs!T54</f>
        <v>4.0856626111231185</v>
      </c>
      <c r="U8" s="37">
        <f>BDbDT_calcs!U54</f>
        <v>4.052451386326493</v>
      </c>
      <c r="V8" s="37">
        <f>BDbDT_calcs!V54</f>
        <v>4.0198993522628639</v>
      </c>
      <c r="W8" s="37">
        <f>BDbDT_calcs!W54</f>
        <v>3.9827980625837656</v>
      </c>
      <c r="X8" s="37">
        <f>BDbDT_calcs!X54</f>
        <v>3.9513745761201937</v>
      </c>
      <c r="Y8" s="37">
        <f>BDbDT_calcs!Y54</f>
        <v>3.9194071774831727</v>
      </c>
      <c r="Z8" s="37">
        <f>BDbDT_calcs!Z54</f>
        <v>3.8878633765758353</v>
      </c>
      <c r="AA8" s="37">
        <f>BDbDT_calcs!AA54</f>
        <v>3.8577040497194983</v>
      </c>
      <c r="AB8" s="37">
        <f>BDbDT_calcs!AB54</f>
        <v>3.8298858073954727</v>
      </c>
    </row>
    <row r="9" spans="1:28" x14ac:dyDescent="0.25">
      <c r="A9" s="4" t="s">
        <v>222</v>
      </c>
      <c r="B9" s="37">
        <f>BDbDT_calcs!B55</f>
        <v>64.574717906779426</v>
      </c>
      <c r="C9" s="37">
        <f>BDbDT_calcs!C55</f>
        <v>63.960683410717749</v>
      </c>
      <c r="D9" s="37">
        <f>BDbDT_calcs!D55</f>
        <v>63.118046632740615</v>
      </c>
      <c r="E9" s="37">
        <f>BDbDT_calcs!E55</f>
        <v>62.278466498911385</v>
      </c>
      <c r="F9" s="37">
        <f>BDbDT_calcs!F55</f>
        <v>61.417779106320282</v>
      </c>
      <c r="G9" s="37">
        <f>BDbDT_calcs!G55</f>
        <v>60.580109778207479</v>
      </c>
      <c r="H9" s="37">
        <f>BDbDT_calcs!H55</f>
        <v>59.746094906063483</v>
      </c>
      <c r="I9" s="37">
        <f>BDbDT_calcs!I55</f>
        <v>58.878908404589005</v>
      </c>
      <c r="J9" s="37">
        <f>BDbDT_calcs!J55</f>
        <v>58.017520949268032</v>
      </c>
      <c r="K9" s="37">
        <f>BDbDT_calcs!K55</f>
        <v>57.154820138677209</v>
      </c>
      <c r="L9" s="37">
        <f>BDbDT_calcs!L55</f>
        <v>56.300347202744639</v>
      </c>
      <c r="M9" s="37">
        <f>BDbDT_calcs!M55</f>
        <v>55.449078235352623</v>
      </c>
      <c r="N9" s="37">
        <f>BDbDT_calcs!N55</f>
        <v>54.61035980901007</v>
      </c>
      <c r="O9" s="37">
        <f>BDbDT_calcs!O55</f>
        <v>53.764742831226577</v>
      </c>
      <c r="P9" s="37">
        <f>BDbDT_calcs!P55</f>
        <v>52.926290602864057</v>
      </c>
      <c r="Q9" s="37">
        <f>BDbDT_calcs!Q55</f>
        <v>52.094542882442177</v>
      </c>
      <c r="R9" s="37">
        <f>BDbDT_calcs!R55</f>
        <v>51.273745412369735</v>
      </c>
      <c r="S9" s="37">
        <f>BDbDT_calcs!S55</f>
        <v>50.389898253287519</v>
      </c>
      <c r="T9" s="37">
        <f>BDbDT_calcs!T55</f>
        <v>49.527272725288981</v>
      </c>
      <c r="U9" s="37">
        <f>BDbDT_calcs!U55</f>
        <v>48.694437732920115</v>
      </c>
      <c r="V9" s="37">
        <f>BDbDT_calcs!V55</f>
        <v>47.880902069778386</v>
      </c>
      <c r="W9" s="37">
        <f>BDbDT_calcs!W55</f>
        <v>47.109165237762802</v>
      </c>
      <c r="X9" s="37">
        <f>BDbDT_calcs!X55</f>
        <v>46.354619518998256</v>
      </c>
      <c r="Y9" s="37">
        <f>BDbDT_calcs!Y55</f>
        <v>45.630621654041711</v>
      </c>
      <c r="Z9" s="37">
        <f>BDbDT_calcs!Z55</f>
        <v>44.931553673473928</v>
      </c>
      <c r="AA9" s="37">
        <f>BDbDT_calcs!AA55</f>
        <v>44.251870829232374</v>
      </c>
      <c r="AB9" s="37">
        <f>BDbDT_calcs!AB55</f>
        <v>43.595439732973048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6290.1204432885497</v>
      </c>
      <c r="C2" s="37">
        <f>BDbDT_calcs!C58</f>
        <v>6406.5161591729075</v>
      </c>
      <c r="D2" s="37">
        <f>BDbDT_calcs!D58</f>
        <v>6500.0499355446309</v>
      </c>
      <c r="E2" s="37">
        <f>BDbDT_calcs!E58</f>
        <v>6593.3614379327364</v>
      </c>
      <c r="F2" s="37">
        <f>BDbDT_calcs!F58</f>
        <v>6687.0225963232797</v>
      </c>
      <c r="G2" s="37">
        <f>BDbDT_calcs!G58</f>
        <v>6781.2349664500498</v>
      </c>
      <c r="H2" s="37">
        <f>BDbDT_calcs!H58</f>
        <v>6875.5392025581177</v>
      </c>
      <c r="I2" s="37">
        <f>BDbDT_calcs!I58</f>
        <v>6964.5708085929464</v>
      </c>
      <c r="J2" s="37">
        <f>BDbDT_calcs!J58</f>
        <v>7052.2308134175983</v>
      </c>
      <c r="K2" s="37">
        <f>BDbDT_calcs!K58</f>
        <v>7138.4125919207281</v>
      </c>
      <c r="L2" s="37">
        <f>BDbDT_calcs!L58</f>
        <v>7222.5297243140394</v>
      </c>
      <c r="M2" s="37">
        <f>BDbDT_calcs!M58</f>
        <v>7304.4805835548641</v>
      </c>
      <c r="N2" s="37">
        <f>BDbDT_calcs!N58</f>
        <v>7383.5388287147425</v>
      </c>
      <c r="O2" s="37">
        <f>BDbDT_calcs!O58</f>
        <v>7459.4486134798644</v>
      </c>
      <c r="P2" s="37">
        <f>BDbDT_calcs!P58</f>
        <v>7531.275994718615</v>
      </c>
      <c r="Q2" s="37">
        <f>BDbDT_calcs!Q58</f>
        <v>7598.8928020886542</v>
      </c>
      <c r="R2" s="37">
        <f>BDbDT_calcs!R58</f>
        <v>7661.1709431438449</v>
      </c>
      <c r="S2" s="37">
        <f>BDbDT_calcs!S58</f>
        <v>7709.15325506921</v>
      </c>
      <c r="T2" s="37">
        <f>BDbDT_calcs!T58</f>
        <v>7751.3985581132983</v>
      </c>
      <c r="U2" s="37">
        <f>BDbDT_calcs!U58</f>
        <v>7788.3465009984193</v>
      </c>
      <c r="V2" s="37">
        <f>BDbDT_calcs!V58</f>
        <v>7818.146420935087</v>
      </c>
      <c r="W2" s="37">
        <f>BDbDT_calcs!W58</f>
        <v>7841.279675528308</v>
      </c>
      <c r="X2" s="37">
        <f>BDbDT_calcs!X58</f>
        <v>7857.3313353415087</v>
      </c>
      <c r="Y2" s="37">
        <f>BDbDT_calcs!Y58</f>
        <v>7869.5543671080868</v>
      </c>
      <c r="Z2" s="37">
        <f>BDbDT_calcs!Z58</f>
        <v>7875.0787252204454</v>
      </c>
      <c r="AA2" s="37">
        <f>BDbDT_calcs!AA58</f>
        <v>7874.3968566748781</v>
      </c>
      <c r="AB2" s="37">
        <f>BDbDT_calcs!AB58</f>
        <v>7868.2266634855459</v>
      </c>
    </row>
    <row r="3" spans="1:28" x14ac:dyDescent="0.25">
      <c r="A3" s="4" t="s">
        <v>216</v>
      </c>
      <c r="B3" s="37">
        <f>BDbDT_calcs!B59</f>
        <v>5830.2281034736307</v>
      </c>
      <c r="C3" s="37">
        <f>BDbDT_calcs!C59</f>
        <v>5922.7335098099156</v>
      </c>
      <c r="D3" s="37">
        <f>BDbDT_calcs!D59</f>
        <v>5994.5722377988759</v>
      </c>
      <c r="E3" s="37">
        <f>BDbDT_calcs!E59</f>
        <v>6069.3636331657108</v>
      </c>
      <c r="F3" s="37">
        <f>BDbDT_calcs!F59</f>
        <v>6148.807415681511</v>
      </c>
      <c r="G3" s="37">
        <f>BDbDT_calcs!G59</f>
        <v>6233.206433565435</v>
      </c>
      <c r="H3" s="37">
        <f>BDbDT_calcs!H59</f>
        <v>6323.1136074971846</v>
      </c>
      <c r="I3" s="37">
        <f>BDbDT_calcs!I59</f>
        <v>6413.3354278921815</v>
      </c>
      <c r="J3" s="37">
        <f>BDbDT_calcs!J59</f>
        <v>6508.0166685103732</v>
      </c>
      <c r="K3" s="37">
        <f>BDbDT_calcs!K59</f>
        <v>6605.4793273985342</v>
      </c>
      <c r="L3" s="37">
        <f>BDbDT_calcs!L59</f>
        <v>6705.5802226875694</v>
      </c>
      <c r="M3" s="37">
        <f>BDbDT_calcs!M59</f>
        <v>6807.9061353554716</v>
      </c>
      <c r="N3" s="37">
        <f>BDbDT_calcs!N59</f>
        <v>6911.003509719133</v>
      </c>
      <c r="O3" s="37">
        <f>BDbDT_calcs!O59</f>
        <v>7013.4986251063938</v>
      </c>
      <c r="P3" s="37">
        <f>BDbDT_calcs!P59</f>
        <v>7115.0983387013493</v>
      </c>
      <c r="Q3" s="37">
        <f>BDbDT_calcs!Q59</f>
        <v>7213.8591352240019</v>
      </c>
      <c r="R3" s="37">
        <f>BDbDT_calcs!R59</f>
        <v>7309.2539843187014</v>
      </c>
      <c r="S3" s="37">
        <f>BDbDT_calcs!S59</f>
        <v>7391.300785059505</v>
      </c>
      <c r="T3" s="37">
        <f>BDbDT_calcs!T59</f>
        <v>7467.9845541032446</v>
      </c>
      <c r="U3" s="37">
        <f>BDbDT_calcs!U59</f>
        <v>7538.6472921702689</v>
      </c>
      <c r="V3" s="37">
        <f>BDbDT_calcs!V59</f>
        <v>7601.6152087645514</v>
      </c>
      <c r="W3" s="37">
        <f>BDbDT_calcs!W59</f>
        <v>7655.3928763722861</v>
      </c>
      <c r="X3" s="37">
        <f>BDbDT_calcs!X59</f>
        <v>7700.4204558207257</v>
      </c>
      <c r="Y3" s="37">
        <f>BDbDT_calcs!Y59</f>
        <v>7740.3085772766553</v>
      </c>
      <c r="Z3" s="37">
        <f>BDbDT_calcs!Z59</f>
        <v>7771.7412972694983</v>
      </c>
      <c r="AA3" s="37">
        <f>BDbDT_calcs!AA59</f>
        <v>7793.5413034713074</v>
      </c>
      <c r="AB3" s="37">
        <f>BDbDT_calcs!AB59</f>
        <v>7805.8616489695451</v>
      </c>
    </row>
    <row r="4" spans="1:28" x14ac:dyDescent="0.25">
      <c r="A4" s="4" t="s">
        <v>217</v>
      </c>
      <c r="B4" s="37">
        <f>BDbDT_calcs!B60</f>
        <v>12050.227309305303</v>
      </c>
      <c r="C4" s="37">
        <f>BDbDT_calcs!C60</f>
        <v>12255.333700035679</v>
      </c>
      <c r="D4" s="37">
        <f>BDbDT_calcs!D60</f>
        <v>12416.175943459639</v>
      </c>
      <c r="E4" s="37">
        <f>BDbDT_calcs!E60</f>
        <v>12578.598713296058</v>
      </c>
      <c r="F4" s="37">
        <f>BDbDT_calcs!F60</f>
        <v>12745.179916931533</v>
      </c>
      <c r="G4" s="37">
        <f>BDbDT_calcs!G60</f>
        <v>12915.967341752277</v>
      </c>
      <c r="H4" s="37">
        <f>BDbDT_calcs!H60</f>
        <v>13091.431062904066</v>
      </c>
      <c r="I4" s="37">
        <f>BDbDT_calcs!I60</f>
        <v>13260.839247546737</v>
      </c>
      <c r="J4" s="37">
        <f>BDbDT_calcs!J60</f>
        <v>13432.36512057742</v>
      </c>
      <c r="K4" s="37">
        <f>BDbDT_calcs!K60</f>
        <v>13603.646609457279</v>
      </c>
      <c r="L4" s="37">
        <f>BDbDT_calcs!L60</f>
        <v>13773.988067889864</v>
      </c>
      <c r="M4" s="37">
        <f>BDbDT_calcs!M60</f>
        <v>13942.883933155315</v>
      </c>
      <c r="N4" s="37">
        <f>BDbDT_calcs!N60</f>
        <v>14107.84010963583</v>
      </c>
      <c r="O4" s="37">
        <f>BDbDT_calcs!O60</f>
        <v>14267.499419229836</v>
      </c>
      <c r="P4" s="37">
        <f>BDbDT_calcs!P60</f>
        <v>14420.071950049996</v>
      </c>
      <c r="Q4" s="37">
        <f>BDbDT_calcs!Q60</f>
        <v>14563.671193871802</v>
      </c>
      <c r="R4" s="37">
        <f>BDbDT_calcs!R60</f>
        <v>14696.491225847176</v>
      </c>
      <c r="S4" s="37">
        <f>BDbDT_calcs!S60</f>
        <v>14799.946929022646</v>
      </c>
      <c r="T4" s="37">
        <f>BDbDT_calcs!T60</f>
        <v>14890.383220873608</v>
      </c>
      <c r="U4" s="37">
        <f>BDbDT_calcs!U60</f>
        <v>14967.826805203127</v>
      </c>
      <c r="V4" s="37">
        <f>BDbDT_calcs!V60</f>
        <v>15028.337189926433</v>
      </c>
      <c r="W4" s="37">
        <f>BDbDT_calcs!W60</f>
        <v>15070.835085533443</v>
      </c>
      <c r="X4" s="37">
        <f>BDbDT_calcs!X60</f>
        <v>15095.687560739345</v>
      </c>
      <c r="Y4" s="37">
        <f>BDbDT_calcs!Y60</f>
        <v>15110.631539591455</v>
      </c>
      <c r="Z4" s="37">
        <f>BDbDT_calcs!Z60</f>
        <v>15108.917417651925</v>
      </c>
      <c r="AA4" s="37">
        <f>BDbDT_calcs!AA60</f>
        <v>15089.639999679061</v>
      </c>
      <c r="AB4" s="37">
        <f>BDbDT_calcs!AB60</f>
        <v>15054.113078014569</v>
      </c>
    </row>
    <row r="5" spans="1:28" x14ac:dyDescent="0.25">
      <c r="A5" s="4" t="s">
        <v>218</v>
      </c>
      <c r="B5" s="37">
        <f>BDbDT_calcs!B61</f>
        <v>238.20664447780729</v>
      </c>
      <c r="C5" s="37">
        <f>BDbDT_calcs!C61</f>
        <v>241.86893404294506</v>
      </c>
      <c r="D5" s="37">
        <f>BDbDT_calcs!D61</f>
        <v>244.69797775568409</v>
      </c>
      <c r="E5" s="37">
        <f>BDbDT_calcs!E61</f>
        <v>247.55000469164281</v>
      </c>
      <c r="F5" s="37">
        <f>BDbDT_calcs!F61</f>
        <v>250.5062567098081</v>
      </c>
      <c r="G5" s="37">
        <f>BDbDT_calcs!G61</f>
        <v>253.57366400675451</v>
      </c>
      <c r="H5" s="37">
        <f>BDbDT_calcs!H61</f>
        <v>256.74633701475165</v>
      </c>
      <c r="I5" s="37">
        <f>BDbDT_calcs!I61</f>
        <v>259.85048033626424</v>
      </c>
      <c r="J5" s="37">
        <f>BDbDT_calcs!J61</f>
        <v>263.05237899280115</v>
      </c>
      <c r="K5" s="37">
        <f>BDbDT_calcs!K61</f>
        <v>266.33557088718675</v>
      </c>
      <c r="L5" s="37">
        <f>BDbDT_calcs!L61</f>
        <v>269.70081438936734</v>
      </c>
      <c r="M5" s="37">
        <f>BDbDT_calcs!M61</f>
        <v>273.13470745496704</v>
      </c>
      <c r="N5" s="37">
        <f>BDbDT_calcs!N61</f>
        <v>276.65068370825981</v>
      </c>
      <c r="O5" s="37">
        <f>BDbDT_calcs!O61</f>
        <v>280.17921876753826</v>
      </c>
      <c r="P5" s="37">
        <f>BDbDT_calcs!P61</f>
        <v>283.75169461365755</v>
      </c>
      <c r="Q5" s="37">
        <f>BDbDT_calcs!Q61</f>
        <v>287.31096994284087</v>
      </c>
      <c r="R5" s="37">
        <f>BDbDT_calcs!R61</f>
        <v>290.85071474878134</v>
      </c>
      <c r="S5" s="37">
        <f>BDbDT_calcs!S61</f>
        <v>294.02728420786991</v>
      </c>
      <c r="T5" s="37">
        <f>BDbDT_calcs!T61</f>
        <v>297.12162731861855</v>
      </c>
      <c r="U5" s="37">
        <f>BDbDT_calcs!U61</f>
        <v>300.13855832139683</v>
      </c>
      <c r="V5" s="37">
        <f>BDbDT_calcs!V61</f>
        <v>303.04327379893743</v>
      </c>
      <c r="W5" s="37">
        <f>BDbDT_calcs!W61</f>
        <v>305.77980244838477</v>
      </c>
      <c r="X5" s="37">
        <f>BDbDT_calcs!X61</f>
        <v>308.32789587543868</v>
      </c>
      <c r="Y5" s="37">
        <f>BDbDT_calcs!Y61</f>
        <v>310.76559904474516</v>
      </c>
      <c r="Z5" s="37">
        <f>BDbDT_calcs!Z61</f>
        <v>313.00724202703321</v>
      </c>
      <c r="AA5" s="37">
        <f>BDbDT_calcs!AA61</f>
        <v>315.05029148593661</v>
      </c>
      <c r="AB5" s="37">
        <f>BDbDT_calcs!AB61</f>
        <v>316.86222564744406</v>
      </c>
    </row>
    <row r="6" spans="1:28" x14ac:dyDescent="0.25">
      <c r="A6" s="4" t="s">
        <v>219</v>
      </c>
      <c r="B6" s="37">
        <f>BDbDT_calcs!B62</f>
        <v>253.91745404279223</v>
      </c>
      <c r="C6" s="37">
        <f>BDbDT_calcs!C62</f>
        <v>259.96977074414053</v>
      </c>
      <c r="D6" s="37">
        <f>BDbDT_calcs!D62</f>
        <v>265.30980625936724</v>
      </c>
      <c r="E6" s="37">
        <f>BDbDT_calcs!E62</f>
        <v>271.03783396995988</v>
      </c>
      <c r="F6" s="37">
        <f>BDbDT_calcs!F62</f>
        <v>277.23195250810261</v>
      </c>
      <c r="G6" s="37">
        <f>BDbDT_calcs!G62</f>
        <v>283.8861220420996</v>
      </c>
      <c r="H6" s="37">
        <f>BDbDT_calcs!H62</f>
        <v>291.01907634847419</v>
      </c>
      <c r="I6" s="37">
        <f>BDbDT_calcs!I62</f>
        <v>298.42116729478653</v>
      </c>
      <c r="J6" s="37">
        <f>BDbDT_calcs!J62</f>
        <v>306.14051772519559</v>
      </c>
      <c r="K6" s="37">
        <f>BDbDT_calcs!K62</f>
        <v>314.11570942815973</v>
      </c>
      <c r="L6" s="37">
        <f>BDbDT_calcs!L62</f>
        <v>322.42687571311518</v>
      </c>
      <c r="M6" s="37">
        <f>BDbDT_calcs!M62</f>
        <v>331.01160522690952</v>
      </c>
      <c r="N6" s="37">
        <f>BDbDT_calcs!N62</f>
        <v>339.8283879679318</v>
      </c>
      <c r="O6" s="37">
        <f>BDbDT_calcs!O62</f>
        <v>348.81824969419171</v>
      </c>
      <c r="P6" s="37">
        <f>BDbDT_calcs!P62</f>
        <v>357.9507359561934</v>
      </c>
      <c r="Q6" s="37">
        <f>BDbDT_calcs!Q62</f>
        <v>367.15885413570072</v>
      </c>
      <c r="R6" s="37">
        <f>BDbDT_calcs!R62</f>
        <v>376.40982300518124</v>
      </c>
      <c r="S6" s="37">
        <f>BDbDT_calcs!S62</f>
        <v>385.18828890780264</v>
      </c>
      <c r="T6" s="37">
        <f>BDbDT_calcs!T62</f>
        <v>393.93202012278738</v>
      </c>
      <c r="U6" s="37">
        <f>BDbDT_calcs!U62</f>
        <v>402.55642696499922</v>
      </c>
      <c r="V6" s="37">
        <f>BDbDT_calcs!V62</f>
        <v>411.07537768507314</v>
      </c>
      <c r="W6" s="37">
        <f>BDbDT_calcs!W62</f>
        <v>419.4616946200324</v>
      </c>
      <c r="X6" s="37">
        <f>BDbDT_calcs!X62</f>
        <v>427.75104868002228</v>
      </c>
      <c r="Y6" s="37">
        <f>BDbDT_calcs!Y62</f>
        <v>435.91519261765393</v>
      </c>
      <c r="Z6" s="37">
        <f>BDbDT_calcs!Z62</f>
        <v>443.96720499894536</v>
      </c>
      <c r="AA6" s="37">
        <f>BDbDT_calcs!AA62</f>
        <v>451.90171110251737</v>
      </c>
      <c r="AB6" s="37">
        <f>BDbDT_calcs!AB62</f>
        <v>459.68541185428415</v>
      </c>
    </row>
    <row r="7" spans="1:28" x14ac:dyDescent="0.25">
      <c r="A7" s="4" t="s">
        <v>220</v>
      </c>
      <c r="B7" s="37">
        <f>BDbDT_calcs!B63</f>
        <v>139.3778939974745</v>
      </c>
      <c r="C7" s="37">
        <f>BDbDT_calcs!C63</f>
        <v>142.50027357492257</v>
      </c>
      <c r="D7" s="37">
        <f>BDbDT_calcs!D63</f>
        <v>145.25411241809712</v>
      </c>
      <c r="E7" s="37">
        <f>BDbDT_calcs!E63</f>
        <v>148.27636142523269</v>
      </c>
      <c r="F7" s="37">
        <f>BDbDT_calcs!F63</f>
        <v>151.32170671951476</v>
      </c>
      <c r="G7" s="37">
        <f>BDbDT_calcs!G63</f>
        <v>154.60617567200984</v>
      </c>
      <c r="H7" s="37">
        <f>BDbDT_calcs!H63</f>
        <v>157.98924372724005</v>
      </c>
      <c r="I7" s="37">
        <f>BDbDT_calcs!I63</f>
        <v>161.32578189555616</v>
      </c>
      <c r="J7" s="37">
        <f>BDbDT_calcs!J63</f>
        <v>164.73427079111812</v>
      </c>
      <c r="K7" s="37">
        <f>BDbDT_calcs!K63</f>
        <v>168.39187225049673</v>
      </c>
      <c r="L7" s="37">
        <f>BDbDT_calcs!L63</f>
        <v>172.13648377722049</v>
      </c>
      <c r="M7" s="37">
        <f>BDbDT_calcs!M63</f>
        <v>176.02047276670646</v>
      </c>
      <c r="N7" s="37">
        <f>BDbDT_calcs!N63</f>
        <v>179.96632185690683</v>
      </c>
      <c r="O7" s="37">
        <f>BDbDT_calcs!O63</f>
        <v>183.98811695896097</v>
      </c>
      <c r="P7" s="37">
        <f>BDbDT_calcs!P63</f>
        <v>188.13392635749642</v>
      </c>
      <c r="Q7" s="37">
        <f>BDbDT_calcs!Q63</f>
        <v>192.3788170579156</v>
      </c>
      <c r="R7" s="37">
        <f>BDbDT_calcs!R63</f>
        <v>196.68583702548744</v>
      </c>
      <c r="S7" s="37">
        <f>BDbDT_calcs!S63</f>
        <v>200.76032539788312</v>
      </c>
      <c r="T7" s="37">
        <f>BDbDT_calcs!T63</f>
        <v>204.88312791587296</v>
      </c>
      <c r="U7" s="37">
        <f>BDbDT_calcs!U63</f>
        <v>209.00037692960893</v>
      </c>
      <c r="V7" s="37">
        <f>BDbDT_calcs!V63</f>
        <v>213.05187926759228</v>
      </c>
      <c r="W7" s="37">
        <f>BDbDT_calcs!W63</f>
        <v>217.16777678256821</v>
      </c>
      <c r="X7" s="37">
        <f>BDbDT_calcs!X63</f>
        <v>221.24321013672537</v>
      </c>
      <c r="Y7" s="37">
        <f>BDbDT_calcs!Y63</f>
        <v>225.34099905810325</v>
      </c>
      <c r="Z7" s="37">
        <f>BDbDT_calcs!Z63</f>
        <v>229.37440760997706</v>
      </c>
      <c r="AA7" s="37">
        <f>BDbDT_calcs!AA63</f>
        <v>233.37712600839578</v>
      </c>
      <c r="AB7" s="37">
        <f>BDbDT_calcs!AB63</f>
        <v>237.38437311154689</v>
      </c>
    </row>
    <row r="8" spans="1:28" x14ac:dyDescent="0.25">
      <c r="A8" s="4" t="s">
        <v>221</v>
      </c>
      <c r="B8" s="37">
        <f>BDbDT_calcs!B64</f>
        <v>269.99141887599842</v>
      </c>
      <c r="C8" s="37">
        <f>BDbDT_calcs!C64</f>
        <v>279.5916761964134</v>
      </c>
      <c r="D8" s="37">
        <f>BDbDT_calcs!D64</f>
        <v>288.40473567649713</v>
      </c>
      <c r="E8" s="37">
        <f>BDbDT_calcs!E64</f>
        <v>297.4245964796682</v>
      </c>
      <c r="F8" s="37">
        <f>BDbDT_calcs!F64</f>
        <v>306.65497848367164</v>
      </c>
      <c r="G8" s="37">
        <f>BDbDT_calcs!G64</f>
        <v>316.13372901293843</v>
      </c>
      <c r="H8" s="37">
        <f>BDbDT_calcs!H64</f>
        <v>325.96434905720412</v>
      </c>
      <c r="I8" s="37">
        <f>BDbDT_calcs!I64</f>
        <v>335.91094018812475</v>
      </c>
      <c r="J8" s="37">
        <f>BDbDT_calcs!J64</f>
        <v>346.11293011923709</v>
      </c>
      <c r="K8" s="37">
        <f>BDbDT_calcs!K64</f>
        <v>356.6500156695023</v>
      </c>
      <c r="L8" s="37">
        <f>BDbDT_calcs!L64</f>
        <v>367.58263569717479</v>
      </c>
      <c r="M8" s="37">
        <f>BDbDT_calcs!M64</f>
        <v>378.8206768271445</v>
      </c>
      <c r="N8" s="37">
        <f>BDbDT_calcs!N64</f>
        <v>390.46259749537882</v>
      </c>
      <c r="O8" s="37">
        <f>BDbDT_calcs!O64</f>
        <v>402.44330070958392</v>
      </c>
      <c r="P8" s="37">
        <f>BDbDT_calcs!P64</f>
        <v>414.74514593371032</v>
      </c>
      <c r="Q8" s="37">
        <f>BDbDT_calcs!Q64</f>
        <v>427.38659405879173</v>
      </c>
      <c r="R8" s="37">
        <f>BDbDT_calcs!R64</f>
        <v>440.28167862304224</v>
      </c>
      <c r="S8" s="37">
        <f>BDbDT_calcs!S64</f>
        <v>452.89808436698581</v>
      </c>
      <c r="T8" s="37">
        <f>BDbDT_calcs!T64</f>
        <v>465.72827294698141</v>
      </c>
      <c r="U8" s="37">
        <f>BDbDT_calcs!U64</f>
        <v>478.74074397396203</v>
      </c>
      <c r="V8" s="37">
        <f>BDbDT_calcs!V64</f>
        <v>491.87142233277802</v>
      </c>
      <c r="W8" s="37">
        <f>BDbDT_calcs!W64</f>
        <v>505.05231853310158</v>
      </c>
      <c r="X8" s="37">
        <f>BDbDT_calcs!X64</f>
        <v>518.34439588862313</v>
      </c>
      <c r="Y8" s="37">
        <f>BDbDT_calcs!Y64</f>
        <v>531.64310013590557</v>
      </c>
      <c r="Z8" s="37">
        <f>BDbDT_calcs!Z64</f>
        <v>544.94101014137868</v>
      </c>
      <c r="AA8" s="37">
        <f>BDbDT_calcs!AA64</f>
        <v>558.11555369121231</v>
      </c>
      <c r="AB8" s="37">
        <f>BDbDT_calcs!AB64</f>
        <v>571.15133925610758</v>
      </c>
    </row>
    <row r="9" spans="1:28" x14ac:dyDescent="0.25">
      <c r="A9" s="4" t="s">
        <v>222</v>
      </c>
      <c r="B9" s="37">
        <f>BDbDT_calcs!B65</f>
        <v>13061.962936810465</v>
      </c>
      <c r="C9" s="37">
        <f>BDbDT_calcs!C65</f>
        <v>13264.332133787249</v>
      </c>
      <c r="D9" s="37">
        <f>BDbDT_calcs!D65</f>
        <v>13418.960743352511</v>
      </c>
      <c r="E9" s="37">
        <f>BDbDT_calcs!E65</f>
        <v>13575.890507877741</v>
      </c>
      <c r="F9" s="37">
        <f>BDbDT_calcs!F65</f>
        <v>13737.793870049469</v>
      </c>
      <c r="G9" s="37">
        <f>BDbDT_calcs!G65</f>
        <v>13905.09364492263</v>
      </c>
      <c r="H9" s="37">
        <f>BDbDT_calcs!H65</f>
        <v>14077.434900674803</v>
      </c>
      <c r="I9" s="37">
        <f>BDbDT_calcs!I65</f>
        <v>14243.440783271773</v>
      </c>
      <c r="J9" s="37">
        <f>BDbDT_calcs!J65</f>
        <v>14411.96869017561</v>
      </c>
      <c r="K9" s="37">
        <f>BDbDT_calcs!K65</f>
        <v>14580.535595093457</v>
      </c>
      <c r="L9" s="37">
        <f>BDbDT_calcs!L65</f>
        <v>14748.007704229396</v>
      </c>
      <c r="M9" s="37">
        <f>BDbDT_calcs!M65</f>
        <v>14914.187303561972</v>
      </c>
      <c r="N9" s="37">
        <f>BDbDT_calcs!N65</f>
        <v>15076.045974170363</v>
      </c>
      <c r="O9" s="37">
        <f>BDbDT_calcs!O65</f>
        <v>15231.949759661742</v>
      </c>
      <c r="P9" s="37">
        <f>BDbDT_calcs!P65</f>
        <v>15380.53669802209</v>
      </c>
      <c r="Q9" s="37">
        <f>BDbDT_calcs!Q65</f>
        <v>15519.263247333383</v>
      </c>
      <c r="R9" s="37">
        <f>BDbDT_calcs!R65</f>
        <v>15646.574677147652</v>
      </c>
      <c r="S9" s="37">
        <f>BDbDT_calcs!S65</f>
        <v>15742.551469837203</v>
      </c>
      <c r="T9" s="37">
        <f>BDbDT_calcs!T65</f>
        <v>15824.456161677757</v>
      </c>
      <c r="U9" s="37">
        <f>BDbDT_calcs!U65</f>
        <v>15892.16636027496</v>
      </c>
      <c r="V9" s="37">
        <f>BDbDT_calcs!V65</f>
        <v>15941.818108554111</v>
      </c>
      <c r="W9" s="37">
        <f>BDbDT_calcs!W65</f>
        <v>15972.509969352364</v>
      </c>
      <c r="X9" s="37">
        <f>BDbDT_calcs!X65</f>
        <v>15983.999714718369</v>
      </c>
      <c r="Y9" s="37">
        <f>BDbDT_calcs!Y65</f>
        <v>15984.867008533904</v>
      </c>
      <c r="Z9" s="37">
        <f>BDbDT_calcs!Z65</f>
        <v>15967.843288012815</v>
      </c>
      <c r="AA9" s="37">
        <f>BDbDT_calcs!AA65</f>
        <v>15932.667751699812</v>
      </c>
      <c r="AB9" s="37">
        <f>BDbDT_calcs!AB65</f>
        <v>15880.433898401154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2026-08-17T20:29:13Z</dcterms:modified>
</cp:coreProperties>
</file>