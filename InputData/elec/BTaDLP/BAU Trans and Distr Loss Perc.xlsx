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BTaDLP\"/>
    </mc:Choice>
  </mc:AlternateContent>
  <xr:revisionPtr revIDLastSave="0" documentId="8_{D9C4416E-4508-4810-9E83-66E23AA1A43D}" xr6:coauthVersionLast="47" xr6:coauthVersionMax="47" xr10:uidLastSave="{00000000-0000-0000-0000-000000000000}"/>
  <bookViews>
    <workbookView xWindow="1040" yWindow="645"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<sst xmlns="http://schemas.openxmlformats.org/spreadsheetml/2006/main" count="3276" uniqueCount="178">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</sst>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93</v>
      </c>
      <c r="C1" s="11">
        <v>45329</v>
      </c>
      <c r="I1" s="10" t="s">
        <v>9</v>
      </c>
      <c r="J1" s="10" t="s">
        <v>125</v>
      </c>
    </row>
    <row r="2" spans="1:10" x14ac:dyDescent="0.25">
      <c r="B2" s="7" t="str">
        <f>LOOKUP(B1,I1:J50,J1:J50)</f>
        <v>NH</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10867268</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-5644666</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0</v>
      </c>
    </row>
    <row r="4" spans="1:6" x14ac:dyDescent="0.25">
      <c r="E4" s="1" t="s">
        <v>177</v>
      </c>
      <c r="F4" s="13">
        <f>F1-SUM(F2:F3)</f>
        <v>16511934</v>
      </c>
    </row>
    <row r="5" spans="1:6" x14ac:dyDescent="0.25">
      <c r="E5" s="1" t="s">
        <v>65</v>
      </c>
      <c r="F5" s="13">
        <f>SUMIFS('EIA_State Elec Profiles'!C:C,'EIA_State Elec Profiles'!A:A,About!$B$1,'EIA_State Elec Profiles'!B:B,E5)</f>
        <v>511267</v>
      </c>
    </row>
    <row r="6" spans="1:6" x14ac:dyDescent="0.25">
      <c r="E6" s="1" t="s">
        <v>66</v>
      </c>
      <c r="F6" s="13">
        <f>SUMIFS('EIA_State Elec Profiles'!C:C,'EIA_State Elec Profiles'!A:A,About!$B$1,'EIA_State Elec Profiles'!B:B,E6)</f>
        <v>69406</v>
      </c>
    </row>
    <row r="7" spans="1:6" x14ac:dyDescent="0.25">
      <c r="E7" s="1" t="s">
        <v>124</v>
      </c>
      <c r="F7" s="14">
        <f>SUM(F5:F6)/F4</f>
        <v>3.5166867793924077E-2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3.5166867793924077E-2</v>
      </c>
      <c r="C2" s="2">
        <f>B2</f>
        <v>3.5166867793924077E-2</v>
      </c>
      <c r="D2" s="2">
        <f t="shared" ref="D2:AF2" si="0">C2</f>
        <v>3.5166867793924077E-2</v>
      </c>
      <c r="E2" s="2">
        <f t="shared" si="0"/>
        <v>3.5166867793924077E-2</v>
      </c>
      <c r="F2" s="2">
        <f t="shared" si="0"/>
        <v>3.5166867793924077E-2</v>
      </c>
      <c r="G2" s="2">
        <f t="shared" si="0"/>
        <v>3.5166867793924077E-2</v>
      </c>
      <c r="H2" s="2">
        <f t="shared" si="0"/>
        <v>3.5166867793924077E-2</v>
      </c>
      <c r="I2" s="2">
        <f t="shared" si="0"/>
        <v>3.5166867793924077E-2</v>
      </c>
      <c r="J2" s="2">
        <f t="shared" si="0"/>
        <v>3.5166867793924077E-2</v>
      </c>
      <c r="K2" s="2">
        <f t="shared" si="0"/>
        <v>3.5166867793924077E-2</v>
      </c>
      <c r="L2" s="2">
        <f t="shared" si="0"/>
        <v>3.5166867793924077E-2</v>
      </c>
      <c r="M2" s="2">
        <f t="shared" si="0"/>
        <v>3.5166867793924077E-2</v>
      </c>
      <c r="N2" s="2">
        <f t="shared" si="0"/>
        <v>3.5166867793924077E-2</v>
      </c>
      <c r="O2" s="2">
        <f t="shared" si="0"/>
        <v>3.5166867793924077E-2</v>
      </c>
      <c r="P2" s="2">
        <f t="shared" si="0"/>
        <v>3.5166867793924077E-2</v>
      </c>
      <c r="Q2" s="2">
        <f t="shared" si="0"/>
        <v>3.5166867793924077E-2</v>
      </c>
      <c r="R2" s="2">
        <f t="shared" si="0"/>
        <v>3.5166867793924077E-2</v>
      </c>
      <c r="S2" s="2">
        <f t="shared" si="0"/>
        <v>3.5166867793924077E-2</v>
      </c>
      <c r="T2" s="2">
        <f t="shared" si="0"/>
        <v>3.5166867793924077E-2</v>
      </c>
      <c r="U2" s="2">
        <f t="shared" si="0"/>
        <v>3.5166867793924077E-2</v>
      </c>
      <c r="V2" s="2">
        <f t="shared" si="0"/>
        <v>3.5166867793924077E-2</v>
      </c>
      <c r="W2" s="2">
        <f t="shared" si="0"/>
        <v>3.5166867793924077E-2</v>
      </c>
      <c r="X2" s="2">
        <f t="shared" si="0"/>
        <v>3.5166867793924077E-2</v>
      </c>
      <c r="Y2" s="2">
        <f t="shared" si="0"/>
        <v>3.5166867793924077E-2</v>
      </c>
      <c r="Z2" s="2">
        <f t="shared" si="0"/>
        <v>3.5166867793924077E-2</v>
      </c>
      <c r="AA2" s="2">
        <f t="shared" si="0"/>
        <v>3.5166867793924077E-2</v>
      </c>
      <c r="AB2" s="2">
        <f t="shared" si="0"/>
        <v>3.5166867793924077E-2</v>
      </c>
      <c r="AC2" s="2">
        <f t="shared" si="0"/>
        <v>3.5166867793924077E-2</v>
      </c>
      <c r="AD2" s="2">
        <f t="shared" si="0"/>
        <v>3.5166867793924077E-2</v>
      </c>
      <c r="AE2" s="2">
        <f t="shared" si="0"/>
        <v>3.5166867793924077E-2</v>
      </c>
      <c r="AF2" s="2">
        <f t="shared" si="0"/>
        <v>3.5166867793924077E-2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2024-02-07T19:57:35Z</dcterms:modified>
</cp:coreProperties>
</file>